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yousefffraige/Desktop/"/>
    </mc:Choice>
  </mc:AlternateContent>
  <xr:revisionPtr revIDLastSave="0" documentId="13_ncr:1_{4C667CEB-CD9B-EC41-A0AA-A04FC7CA28E2}" xr6:coauthVersionLast="47" xr6:coauthVersionMax="47" xr10:uidLastSave="{00000000-0000-0000-0000-000000000000}"/>
  <bookViews>
    <workbookView xWindow="0" yWindow="780" windowWidth="29640" windowHeight="19880" tabRatio="929" activeTab="4" xr2:uid="{00000000-000D-0000-FFFF-FFFF00000000}"/>
  </bookViews>
  <sheets>
    <sheet name="CAPTURA" sheetId="1" r:id="rId1"/>
    <sheet name="CheckList" sheetId="17" r:id="rId2"/>
    <sheet name="Ubicacion" sheetId="19" r:id="rId3"/>
    <sheet name="Cancelacion" sheetId="21" r:id="rId4"/>
    <sheet name="Cotizacion" sheetId="22" r:id="rId5"/>
    <sheet name="Oferta de compra_fisica" sheetId="5" r:id="rId6"/>
    <sheet name="Generales_fisica" sheetId="12" r:id="rId7"/>
    <sheet name="Vobocontrato_fisica" sheetId="8" state="hidden" r:id="rId8"/>
    <sheet name="VoboFolio_fisica" sheetId="10" state="hidden" r:id="rId9"/>
    <sheet name="Oferta de compra_moral" sheetId="7" r:id="rId10"/>
    <sheet name="Generales_moral" sheetId="13" r:id="rId11"/>
    <sheet name="Vobocontrato_moral" sheetId="9" state="hidden" r:id="rId12"/>
    <sheet name="VoboFolio_moral" sheetId="11" state="hidden" r:id="rId13"/>
  </sheets>
  <definedNames>
    <definedName name="_xlnm.Print_Area" localSheetId="3">Cancelacion!$A$1:$AL$53</definedName>
    <definedName name="_xlnm.Print_Area" localSheetId="0">CAPTURA!$A$1:$O$66</definedName>
    <definedName name="_xlnm.Print_Area" localSheetId="4">Cotizacion!$A$1:$L$81</definedName>
    <definedName name="_xlnm.Print_Area" localSheetId="10">Generales_moral!$A$1:$K$62</definedName>
    <definedName name="_xlnm.Print_Area" localSheetId="5">'Oferta de compra_fisica'!$A$1:$L$81</definedName>
    <definedName name="_xlnm.Print_Area" localSheetId="9">'Oferta de compra_moral'!$A$1:$L$80</definedName>
    <definedName name="_xlnm.Print_Area" localSheetId="2">Ubicacion!$A$1:$AL$50</definedName>
    <definedName name="_xlnm.Print_Area" localSheetId="7">Vobocontrato_fisica!$A$1:$M$58</definedName>
    <definedName name="_xlnm.Print_Area" localSheetId="11">Vobocontrato_moral!$A$1:$M$58</definedName>
    <definedName name="_xlnm.Print_Area" localSheetId="8">VoboFolio_fisica!$A$1:$M$58</definedName>
    <definedName name="_xlnm.Print_Area" localSheetId="12">VoboFolio_moral!$A$1:$M$58</definedName>
    <definedName name="Valores" localSheetId="3">#REF!</definedName>
    <definedName name="Valores" localSheetId="1">#REF!</definedName>
    <definedName name="Valor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7" i="22" l="1"/>
  <c r="J47" i="22"/>
  <c r="K46" i="22"/>
  <c r="J46" i="22"/>
  <c r="I46" i="22"/>
  <c r="H46" i="22"/>
  <c r="G46" i="22"/>
  <c r="F46" i="22"/>
  <c r="C46" i="22"/>
  <c r="K44" i="22"/>
  <c r="J44" i="22"/>
  <c r="I44" i="22"/>
  <c r="H44" i="22"/>
  <c r="G44" i="22"/>
  <c r="F44" i="22"/>
  <c r="E44" i="22"/>
  <c r="C44" i="22"/>
  <c r="B44" i="22"/>
  <c r="K43" i="22"/>
  <c r="J43" i="22"/>
  <c r="I43" i="22"/>
  <c r="H43" i="22"/>
  <c r="G43" i="22"/>
  <c r="F43" i="22"/>
  <c r="E43" i="22"/>
  <c r="C43" i="22"/>
  <c r="B43" i="22"/>
  <c r="K42" i="22"/>
  <c r="J42" i="22"/>
  <c r="I42" i="22"/>
  <c r="H42" i="22"/>
  <c r="G42" i="22"/>
  <c r="F42" i="22"/>
  <c r="E42" i="22"/>
  <c r="C42" i="22"/>
  <c r="B42" i="22"/>
  <c r="K41" i="22"/>
  <c r="J41" i="22"/>
  <c r="I41" i="22"/>
  <c r="H41" i="22"/>
  <c r="G41" i="22"/>
  <c r="F41" i="22"/>
  <c r="E41" i="22"/>
  <c r="C41" i="22"/>
  <c r="B41" i="22"/>
  <c r="K40" i="22"/>
  <c r="J40" i="22"/>
  <c r="I40" i="22"/>
  <c r="H40" i="22"/>
  <c r="G40" i="22"/>
  <c r="F40" i="22"/>
  <c r="E40" i="22"/>
  <c r="C40" i="22"/>
  <c r="B40" i="22"/>
  <c r="K39" i="22"/>
  <c r="J39" i="22"/>
  <c r="I39" i="22"/>
  <c r="H39" i="22"/>
  <c r="G39" i="22"/>
  <c r="F39" i="22"/>
  <c r="E39" i="22"/>
  <c r="C39" i="22"/>
  <c r="B39" i="22"/>
  <c r="K38" i="22"/>
  <c r="J38" i="22"/>
  <c r="I38" i="22"/>
  <c r="H38" i="22"/>
  <c r="G38" i="22"/>
  <c r="F38" i="22"/>
  <c r="E38" i="22"/>
  <c r="C38" i="22"/>
  <c r="B38" i="22"/>
  <c r="K37" i="22"/>
  <c r="J37" i="22"/>
  <c r="I37" i="22"/>
  <c r="H37" i="22"/>
  <c r="G37" i="22"/>
  <c r="F37" i="22"/>
  <c r="E37" i="22"/>
  <c r="C37" i="22"/>
  <c r="B37" i="22"/>
  <c r="K36" i="22"/>
  <c r="J36" i="22"/>
  <c r="I36" i="22"/>
  <c r="H36" i="22"/>
  <c r="G36" i="22"/>
  <c r="F36" i="22"/>
  <c r="E36" i="22"/>
  <c r="C36" i="22"/>
  <c r="B36" i="22"/>
  <c r="K35" i="22"/>
  <c r="J35" i="22"/>
  <c r="I35" i="22"/>
  <c r="H35" i="22"/>
  <c r="G35" i="22"/>
  <c r="F35" i="22"/>
  <c r="E35" i="22"/>
  <c r="C35" i="22"/>
  <c r="B35" i="22"/>
  <c r="K34" i="22"/>
  <c r="J34" i="22"/>
  <c r="I34" i="22"/>
  <c r="H34" i="22"/>
  <c r="G34" i="22"/>
  <c r="F34" i="22"/>
  <c r="E34" i="22"/>
  <c r="C34" i="22"/>
  <c r="B34" i="22"/>
  <c r="K33" i="22"/>
  <c r="J33" i="22"/>
  <c r="I33" i="22"/>
  <c r="H33" i="22"/>
  <c r="G33" i="22"/>
  <c r="F33" i="22"/>
  <c r="E33" i="22"/>
  <c r="C33" i="22"/>
  <c r="B33" i="22"/>
  <c r="K32" i="22"/>
  <c r="J32" i="22"/>
  <c r="I32" i="22"/>
  <c r="H32" i="22"/>
  <c r="G32" i="22"/>
  <c r="F32" i="22"/>
  <c r="E32" i="22"/>
  <c r="C32" i="22"/>
  <c r="B32" i="22"/>
  <c r="K31" i="22"/>
  <c r="J31" i="22"/>
  <c r="I31" i="22"/>
  <c r="H31" i="22"/>
  <c r="G31" i="22"/>
  <c r="F31" i="22"/>
  <c r="E31" i="22"/>
  <c r="C31" i="22"/>
  <c r="B31" i="22"/>
  <c r="K30" i="22"/>
  <c r="J30" i="22"/>
  <c r="I30" i="22"/>
  <c r="H30" i="22"/>
  <c r="G30" i="22"/>
  <c r="F30" i="22"/>
  <c r="E30" i="22"/>
  <c r="C30" i="22"/>
  <c r="B30" i="22"/>
  <c r="E25" i="22"/>
  <c r="C22" i="22"/>
  <c r="C21" i="22"/>
  <c r="I20" i="22"/>
  <c r="C20" i="22"/>
  <c r="I19" i="22"/>
  <c r="C19" i="22"/>
  <c r="I18" i="22"/>
  <c r="C18" i="22"/>
  <c r="C15" i="22"/>
  <c r="I14" i="22"/>
  <c r="C14" i="22"/>
  <c r="C13" i="22"/>
  <c r="I12" i="22"/>
  <c r="C12" i="22"/>
  <c r="I11" i="22"/>
  <c r="C11" i="22"/>
  <c r="I10" i="22"/>
  <c r="K4" i="22"/>
  <c r="I25" i="1"/>
  <c r="N32" i="1"/>
  <c r="I10" i="5"/>
  <c r="M34" i="1" l="1"/>
  <c r="K32" i="1"/>
  <c r="K33" i="1" s="1"/>
  <c r="K34" i="1" s="1"/>
  <c r="C30" i="5"/>
  <c r="B77" i="5"/>
  <c r="I19" i="5"/>
  <c r="I18" i="5"/>
  <c r="C22" i="5"/>
  <c r="C21" i="5"/>
  <c r="C20" i="5"/>
  <c r="C19" i="5"/>
  <c r="I14" i="5"/>
  <c r="I12" i="5"/>
  <c r="I11" i="5"/>
  <c r="C14" i="5"/>
  <c r="C13" i="5"/>
  <c r="C12" i="5"/>
  <c r="C11" i="5"/>
  <c r="C32" i="5" l="1"/>
  <c r="C33" i="5"/>
  <c r="C34" i="5"/>
  <c r="C35" i="5"/>
  <c r="C36" i="5"/>
  <c r="C37" i="5"/>
  <c r="B30" i="5"/>
  <c r="B31" i="5"/>
  <c r="B32" i="5"/>
  <c r="B33" i="5"/>
  <c r="B34" i="5"/>
  <c r="B35" i="5"/>
  <c r="B36" i="5"/>
  <c r="B37" i="5"/>
  <c r="C25" i="12"/>
  <c r="C20" i="12"/>
  <c r="C18" i="12"/>
  <c r="C15" i="5"/>
  <c r="C14" i="12"/>
  <c r="C13" i="12"/>
  <c r="B50" i="12"/>
  <c r="H15" i="12"/>
  <c r="H10" i="12"/>
  <c r="H25" i="12"/>
  <c r="H24" i="12"/>
  <c r="C28" i="12"/>
  <c r="C27" i="12"/>
  <c r="C26" i="12"/>
  <c r="H17" i="12"/>
  <c r="H12" i="12"/>
  <c r="C19" i="12"/>
  <c r="C17" i="12"/>
  <c r="C16" i="12"/>
  <c r="C15" i="12"/>
  <c r="C12" i="12"/>
  <c r="C11" i="12"/>
  <c r="C10" i="12"/>
  <c r="E30" i="5"/>
  <c r="B13" i="21"/>
  <c r="D16" i="17"/>
  <c r="C21" i="21"/>
  <c r="H21" i="21"/>
  <c r="AD8" i="21"/>
  <c r="V48" i="21"/>
  <c r="D48" i="21"/>
  <c r="AG26" i="21"/>
  <c r="L26" i="21"/>
  <c r="H26" i="21"/>
  <c r="C26" i="21"/>
  <c r="H26" i="12" l="1"/>
  <c r="I20" i="5"/>
  <c r="D45" i="19"/>
  <c r="V45" i="19"/>
  <c r="AG34" i="19"/>
  <c r="L34" i="19"/>
  <c r="H34" i="19"/>
  <c r="C34" i="19"/>
  <c r="B66" i="17"/>
  <c r="B65" i="17"/>
  <c r="B64" i="17"/>
  <c r="B63" i="17"/>
  <c r="B62" i="17"/>
  <c r="H21" i="17"/>
  <c r="F21" i="17"/>
  <c r="D21" i="17"/>
  <c r="M16" i="17"/>
  <c r="M12" i="17"/>
  <c r="D12" i="17"/>
  <c r="D10" i="17"/>
  <c r="O4" i="17"/>
  <c r="I42" i="7" l="1"/>
  <c r="J42" i="7"/>
  <c r="I43" i="7"/>
  <c r="J43" i="7"/>
  <c r="E42" i="7"/>
  <c r="E43" i="7"/>
  <c r="C42" i="7"/>
  <c r="C43" i="7"/>
  <c r="I41" i="7"/>
  <c r="E41" i="7"/>
  <c r="J41" i="7"/>
  <c r="G41" i="7"/>
  <c r="C41" i="7"/>
  <c r="E36" i="7"/>
  <c r="E37" i="7"/>
  <c r="E38" i="7"/>
  <c r="E39" i="7"/>
  <c r="E40" i="7"/>
  <c r="C40" i="7"/>
  <c r="C39" i="7"/>
  <c r="C38" i="7"/>
  <c r="C37" i="7"/>
  <c r="C36" i="7"/>
  <c r="B43" i="7"/>
  <c r="B42" i="7"/>
  <c r="B41" i="7"/>
  <c r="B40" i="7"/>
  <c r="B39" i="7"/>
  <c r="B38" i="7"/>
  <c r="B37" i="7"/>
  <c r="B36" i="7"/>
  <c r="G76" i="7" l="1"/>
  <c r="K44" i="5" l="1"/>
  <c r="J44" i="5"/>
  <c r="I44" i="5"/>
  <c r="H44" i="5"/>
  <c r="F44" i="5"/>
  <c r="E44" i="5"/>
  <c r="C44" i="5"/>
  <c r="B44" i="5"/>
  <c r="J43" i="5"/>
  <c r="I43" i="5"/>
  <c r="E43" i="5"/>
  <c r="C43" i="5"/>
  <c r="B43" i="5"/>
  <c r="J42" i="5"/>
  <c r="I42" i="5"/>
  <c r="E42" i="5"/>
  <c r="C42" i="5"/>
  <c r="B42" i="5"/>
  <c r="I41" i="5"/>
  <c r="E41" i="5"/>
  <c r="C41" i="5"/>
  <c r="B41" i="5"/>
  <c r="J41" i="5"/>
  <c r="G41" i="5"/>
  <c r="E40" i="5" l="1"/>
  <c r="C40" i="5"/>
  <c r="B40" i="5"/>
  <c r="E39" i="5"/>
  <c r="C39" i="5"/>
  <c r="B39" i="5"/>
  <c r="E38" i="5"/>
  <c r="C38" i="5"/>
  <c r="B38" i="5"/>
  <c r="E37" i="5"/>
  <c r="E36" i="5"/>
  <c r="I14" i="7" l="1"/>
  <c r="E26" i="7"/>
  <c r="E25" i="7"/>
  <c r="E25" i="5"/>
  <c r="I36" i="7" l="1"/>
  <c r="J36" i="7"/>
  <c r="I36" i="5"/>
  <c r="J36" i="5"/>
  <c r="J35" i="7"/>
  <c r="I35" i="7"/>
  <c r="E35" i="7"/>
  <c r="C35" i="7"/>
  <c r="B35" i="7"/>
  <c r="J34" i="7"/>
  <c r="I34" i="7"/>
  <c r="E34" i="7"/>
  <c r="C34" i="7"/>
  <c r="B34" i="7"/>
  <c r="J33" i="7"/>
  <c r="I33" i="7"/>
  <c r="E33" i="7"/>
  <c r="C33" i="7"/>
  <c r="B33" i="7"/>
  <c r="J32" i="7"/>
  <c r="I32" i="7"/>
  <c r="E32" i="7"/>
  <c r="C32" i="7"/>
  <c r="B32" i="7"/>
  <c r="E31" i="7"/>
  <c r="C31" i="7"/>
  <c r="B31" i="7"/>
  <c r="I32" i="5" l="1"/>
  <c r="J32" i="5"/>
  <c r="I33" i="5"/>
  <c r="J33" i="5"/>
  <c r="I34" i="5"/>
  <c r="J34" i="5"/>
  <c r="I35" i="5"/>
  <c r="J35" i="5"/>
  <c r="E31" i="5"/>
  <c r="E32" i="5"/>
  <c r="E33" i="5"/>
  <c r="E34" i="5"/>
  <c r="E35" i="5"/>
  <c r="C31" i="5"/>
  <c r="F38" i="5" l="1"/>
  <c r="I37" i="7"/>
  <c r="J37" i="7"/>
  <c r="I37" i="5"/>
  <c r="J37" i="5"/>
  <c r="H28" i="12"/>
  <c r="C23" i="13"/>
  <c r="H23" i="13"/>
  <c r="C22" i="7"/>
  <c r="I21" i="7"/>
  <c r="J38" i="7" l="1"/>
  <c r="I38" i="7"/>
  <c r="I38" i="5"/>
  <c r="J38" i="5"/>
  <c r="I47" i="9"/>
  <c r="I18" i="9"/>
  <c r="I47" i="8"/>
  <c r="I18" i="8"/>
  <c r="H16" i="12"/>
  <c r="B58" i="13"/>
  <c r="H27" i="13"/>
  <c r="H28" i="13"/>
  <c r="H29" i="13"/>
  <c r="H26" i="13"/>
  <c r="C36" i="13"/>
  <c r="C35" i="13"/>
  <c r="C34" i="13"/>
  <c r="C33" i="13"/>
  <c r="C32" i="13"/>
  <c r="C31" i="13"/>
  <c r="C30" i="13"/>
  <c r="C29" i="13"/>
  <c r="C28" i="13"/>
  <c r="C27" i="13"/>
  <c r="C26" i="13"/>
  <c r="H9" i="13"/>
  <c r="C16" i="13"/>
  <c r="C15" i="13"/>
  <c r="C14" i="13"/>
  <c r="C13" i="13"/>
  <c r="C12" i="13"/>
  <c r="C11" i="13"/>
  <c r="C10" i="13"/>
  <c r="C9" i="13"/>
  <c r="I58" i="13"/>
  <c r="H22" i="13"/>
  <c r="C22" i="13"/>
  <c r="C21" i="13"/>
  <c r="C20" i="13"/>
  <c r="H19" i="13"/>
  <c r="C19" i="13"/>
  <c r="J4" i="13"/>
  <c r="H27" i="12"/>
  <c r="C24" i="12"/>
  <c r="J4" i="12"/>
  <c r="C41" i="11"/>
  <c r="C39" i="11"/>
  <c r="C12" i="11"/>
  <c r="C10" i="11"/>
  <c r="I45" i="11"/>
  <c r="C45" i="11"/>
  <c r="I39" i="11"/>
  <c r="L37" i="11"/>
  <c r="I37" i="11"/>
  <c r="G37" i="11"/>
  <c r="C37" i="11"/>
  <c r="I16" i="11"/>
  <c r="C16" i="11"/>
  <c r="I10" i="11"/>
  <c r="L8" i="11"/>
  <c r="I8" i="11"/>
  <c r="G8" i="11"/>
  <c r="C8" i="11"/>
  <c r="I45" i="10"/>
  <c r="C45" i="10"/>
  <c r="C41" i="10"/>
  <c r="I39" i="10"/>
  <c r="C39" i="10"/>
  <c r="L37" i="10"/>
  <c r="I37" i="10"/>
  <c r="G37" i="10"/>
  <c r="C37" i="10"/>
  <c r="I16" i="10"/>
  <c r="C16" i="10"/>
  <c r="C12" i="10"/>
  <c r="I10" i="10"/>
  <c r="C10" i="10"/>
  <c r="L8" i="10"/>
  <c r="I8" i="10"/>
  <c r="G8" i="10"/>
  <c r="C8" i="10"/>
  <c r="C41" i="9"/>
  <c r="C39" i="9"/>
  <c r="C12" i="9"/>
  <c r="C10" i="9"/>
  <c r="I45" i="9"/>
  <c r="C45" i="9"/>
  <c r="I39" i="9"/>
  <c r="L37" i="9"/>
  <c r="I37" i="9"/>
  <c r="G37" i="9"/>
  <c r="C37" i="9"/>
  <c r="I16" i="9"/>
  <c r="C16" i="9"/>
  <c r="I10" i="9"/>
  <c r="L8" i="9"/>
  <c r="I8" i="9"/>
  <c r="G8" i="9"/>
  <c r="C8" i="9"/>
  <c r="I39" i="7" l="1"/>
  <c r="J39" i="7"/>
  <c r="I39" i="5"/>
  <c r="J39" i="5"/>
  <c r="I39" i="8"/>
  <c r="I45" i="8"/>
  <c r="C45" i="8"/>
  <c r="C41" i="8"/>
  <c r="C39" i="8"/>
  <c r="L37" i="8"/>
  <c r="I37" i="8"/>
  <c r="G37" i="8"/>
  <c r="C37" i="8"/>
  <c r="I16" i="8"/>
  <c r="C16" i="8"/>
  <c r="I10" i="8"/>
  <c r="L8" i="8"/>
  <c r="I8" i="8"/>
  <c r="G8" i="8"/>
  <c r="C12" i="8"/>
  <c r="C10" i="8"/>
  <c r="C8" i="8"/>
  <c r="E8" i="1"/>
  <c r="O3" i="17" l="1"/>
  <c r="K3" i="22"/>
  <c r="J40" i="5"/>
  <c r="I40" i="5"/>
  <c r="J40" i="7"/>
  <c r="I40" i="7"/>
  <c r="J3" i="12"/>
  <c r="J3" i="13"/>
  <c r="C35" i="11"/>
  <c r="C6" i="11"/>
  <c r="C35" i="10"/>
  <c r="C6" i="10"/>
  <c r="C6" i="8"/>
  <c r="C35" i="9"/>
  <c r="C6" i="9"/>
  <c r="C35" i="8"/>
  <c r="I11" i="7" l="1"/>
  <c r="I10" i="7"/>
  <c r="C15" i="7"/>
  <c r="C14" i="7"/>
  <c r="C13" i="7"/>
  <c r="C12" i="7"/>
  <c r="C11" i="7"/>
  <c r="C10" i="7"/>
  <c r="B76" i="7"/>
  <c r="J46" i="7"/>
  <c r="C45" i="7"/>
  <c r="E30" i="7"/>
  <c r="C30" i="7"/>
  <c r="B30" i="7"/>
  <c r="C21" i="7"/>
  <c r="C20" i="7"/>
  <c r="C19" i="7"/>
  <c r="I18" i="7"/>
  <c r="C18" i="7"/>
  <c r="K4" i="7"/>
  <c r="K3" i="7"/>
  <c r="J47" i="5"/>
  <c r="K4" i="5"/>
  <c r="K3" i="5"/>
  <c r="C18" i="5"/>
  <c r="C46" i="5"/>
  <c r="F45" i="7" l="1"/>
  <c r="F46" i="5"/>
  <c r="G45" i="7"/>
  <c r="G46" i="5"/>
  <c r="F41" i="7" l="1"/>
  <c r="G42" i="7"/>
  <c r="F41" i="5"/>
  <c r="G42" i="5"/>
  <c r="H41" i="5" l="1"/>
  <c r="H41" i="7"/>
  <c r="F42" i="7"/>
  <c r="G43" i="7"/>
  <c r="G43" i="5"/>
  <c r="F42" i="5"/>
  <c r="H42" i="7" l="1"/>
  <c r="H42" i="5"/>
  <c r="F43" i="7"/>
  <c r="F43" i="5"/>
  <c r="G44" i="5"/>
  <c r="K41" i="5"/>
  <c r="K41" i="7"/>
  <c r="K42" i="5" l="1"/>
  <c r="K42" i="7"/>
  <c r="H43" i="7"/>
  <c r="H43" i="5"/>
  <c r="K43" i="5" l="1"/>
  <c r="K43" i="7"/>
  <c r="I19" i="7" l="1"/>
  <c r="J19" i="7"/>
  <c r="I43" i="8"/>
  <c r="I14" i="8"/>
  <c r="I20" i="13"/>
  <c r="I14" i="10"/>
  <c r="I14" i="9"/>
  <c r="I43" i="9"/>
  <c r="H20" i="13"/>
  <c r="I43" i="10"/>
  <c r="I43" i="11"/>
  <c r="I14" i="11"/>
  <c r="C43" i="10"/>
  <c r="J20" i="7" l="1"/>
  <c r="I20" i="7"/>
  <c r="C14" i="9"/>
  <c r="C43" i="8"/>
  <c r="L21" i="17"/>
  <c r="H21" i="13"/>
  <c r="C14" i="10"/>
  <c r="C14" i="8"/>
  <c r="S23" i="19"/>
  <c r="C43" i="11"/>
  <c r="C43" i="9"/>
  <c r="C14" i="11"/>
  <c r="I21" i="13"/>
  <c r="L34" i="1" l="1"/>
  <c r="N34" i="1" s="1"/>
  <c r="J30" i="5"/>
  <c r="I30" i="5"/>
  <c r="I30" i="7"/>
  <c r="J30" i="7"/>
  <c r="L32" i="1"/>
  <c r="F30" i="7"/>
  <c r="F30" i="5"/>
  <c r="G30" i="5"/>
  <c r="G30" i="7"/>
  <c r="L33" i="1" l="1"/>
  <c r="N33" i="1" s="1"/>
  <c r="F31" i="5"/>
  <c r="G31" i="7"/>
  <c r="G31" i="5"/>
  <c r="F31" i="7"/>
  <c r="H30" i="5"/>
  <c r="H30" i="7"/>
  <c r="J31" i="7"/>
  <c r="J31" i="5"/>
  <c r="I31" i="7"/>
  <c r="I31" i="5"/>
  <c r="M48" i="1"/>
  <c r="I46" i="5" s="1"/>
  <c r="K30" i="5"/>
  <c r="K30" i="7"/>
  <c r="J46" i="5" l="1"/>
  <c r="J45" i="7"/>
  <c r="I45" i="7"/>
  <c r="G32" i="5"/>
  <c r="F32" i="7"/>
  <c r="G32" i="7"/>
  <c r="F32" i="5"/>
  <c r="H31" i="5"/>
  <c r="H31" i="7"/>
  <c r="G35" i="7" l="1"/>
  <c r="G35" i="5"/>
  <c r="F35" i="7"/>
  <c r="F35" i="5"/>
  <c r="K31" i="7"/>
  <c r="K31" i="5"/>
  <c r="F33" i="7"/>
  <c r="F33" i="5"/>
  <c r="G33" i="5"/>
  <c r="G33" i="7"/>
  <c r="H32" i="5"/>
  <c r="H32" i="7"/>
  <c r="G36" i="7" l="1"/>
  <c r="F36" i="7"/>
  <c r="G36" i="5"/>
  <c r="F36" i="5"/>
  <c r="H35" i="7"/>
  <c r="H35" i="5"/>
  <c r="K32" i="7"/>
  <c r="K32" i="5"/>
  <c r="F34" i="7"/>
  <c r="F34" i="5"/>
  <c r="G34" i="5"/>
  <c r="G34" i="7"/>
  <c r="H33" i="7"/>
  <c r="H33" i="5"/>
  <c r="G38" i="7" l="1"/>
  <c r="F38" i="7"/>
  <c r="G38" i="5"/>
  <c r="K35" i="7"/>
  <c r="K35" i="5"/>
  <c r="G37" i="7"/>
  <c r="F37" i="7"/>
  <c r="F37" i="5"/>
  <c r="G37" i="5"/>
  <c r="H36" i="7"/>
  <c r="H36" i="5"/>
  <c r="K33" i="7"/>
  <c r="K33" i="5"/>
  <c r="H34" i="5"/>
  <c r="H34" i="7"/>
  <c r="F39" i="7" l="1"/>
  <c r="G39" i="7"/>
  <c r="G39" i="5"/>
  <c r="F39" i="5"/>
  <c r="H38" i="5"/>
  <c r="H38" i="7"/>
  <c r="K36" i="5"/>
  <c r="K36" i="7"/>
  <c r="H37" i="5"/>
  <c r="H37" i="7"/>
  <c r="K34" i="7"/>
  <c r="K34" i="5"/>
  <c r="K38" i="5" l="1"/>
  <c r="K38" i="7"/>
  <c r="G40" i="7"/>
  <c r="F40" i="7"/>
  <c r="G40" i="5"/>
  <c r="F40" i="5"/>
  <c r="H39" i="5"/>
  <c r="H39" i="7"/>
  <c r="L48" i="1"/>
  <c r="K37" i="5"/>
  <c r="K37" i="7"/>
  <c r="H45" i="7" l="1"/>
  <c r="H46" i="5"/>
  <c r="K39" i="5"/>
  <c r="K39" i="7"/>
  <c r="N48" i="1"/>
  <c r="H40" i="5"/>
  <c r="H40" i="7"/>
  <c r="K46" i="5" l="1"/>
  <c r="K45" i="7"/>
  <c r="K40" i="5"/>
  <c r="K40" i="7"/>
</calcChain>
</file>

<file path=xl/sharedStrings.xml><?xml version="1.0" encoding="utf-8"?>
<sst xmlns="http://schemas.openxmlformats.org/spreadsheetml/2006/main" count="686" uniqueCount="260">
  <si>
    <t>Fecha:</t>
  </si>
  <si>
    <t>Nombre (s):</t>
  </si>
  <si>
    <t>Apellido Paterno:</t>
  </si>
  <si>
    <t>Apellido Materno:</t>
  </si>
  <si>
    <t>Fecha de Nacimiento:</t>
  </si>
  <si>
    <t>Nacionalidad:</t>
  </si>
  <si>
    <t>RFC:</t>
  </si>
  <si>
    <t>CURP:</t>
  </si>
  <si>
    <t>Lugar de Nacimiento:</t>
  </si>
  <si>
    <t>País de Nacimiento</t>
  </si>
  <si>
    <t>Estado Civil:</t>
  </si>
  <si>
    <t>Régimen Conyugal:</t>
  </si>
  <si>
    <t>SOCIEDAD CONYUGAL</t>
  </si>
  <si>
    <t>Domicilio - Calle:</t>
  </si>
  <si>
    <t>Número Ext. / Int</t>
  </si>
  <si>
    <t>Colonia:</t>
  </si>
  <si>
    <t>Ciudad/Municipio:</t>
  </si>
  <si>
    <t>Estado:</t>
  </si>
  <si>
    <t>TABASCO</t>
  </si>
  <si>
    <t>Código Postal:</t>
  </si>
  <si>
    <t>Teléfono Casa:</t>
  </si>
  <si>
    <t>Teléfono Celular:</t>
  </si>
  <si>
    <t>Teléfono Oficina:</t>
  </si>
  <si>
    <t>E-mail:</t>
  </si>
  <si>
    <t>Ocupación:</t>
  </si>
  <si>
    <t>ESTADO CIVIL</t>
  </si>
  <si>
    <t>SOLTERO (A)</t>
  </si>
  <si>
    <t>CASADO (A)</t>
  </si>
  <si>
    <t>REGIMEN CONYUGAL</t>
  </si>
  <si>
    <t>N/A</t>
  </si>
  <si>
    <t>SEPARACION DE BIENES</t>
  </si>
  <si>
    <t>PROTOTIPO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</si>
  <si>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</si>
  <si>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</si>
  <si>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</si>
  <si>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</si>
  <si>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</si>
  <si>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</si>
  <si>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</si>
  <si>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</si>
  <si>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</si>
  <si>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</si>
  <si>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</si>
  <si>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</si>
  <si>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</si>
  <si>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</si>
  <si>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</si>
  <si>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</si>
  <si>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</si>
  <si>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</si>
  <si>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</si>
  <si>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</si>
  <si>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</si>
  <si>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</si>
  <si>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</si>
  <si>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</si>
  <si>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</si>
  <si>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TAMAULIPAS</t>
  </si>
  <si>
    <t>TLAXCALA</t>
  </si>
  <si>
    <t>VERACRUZ</t>
  </si>
  <si>
    <t>YUCATÁN</t>
  </si>
  <si>
    <t>ZACATECAS</t>
  </si>
  <si>
    <t>ESTADO</t>
  </si>
  <si>
    <t>CIUDAD DE MEXICO</t>
  </si>
  <si>
    <t>Empresa:</t>
  </si>
  <si>
    <t>P E R S O N A   F I S I C A</t>
  </si>
  <si>
    <t>P E R S O N A   M O R A L</t>
  </si>
  <si>
    <t>E M P R E S A</t>
  </si>
  <si>
    <t>R E P R E S E N T A N T E   L E G A L</t>
  </si>
  <si>
    <t>ASESOR</t>
  </si>
  <si>
    <t>TIPO</t>
  </si>
  <si>
    <t>Tipo:</t>
  </si>
  <si>
    <t>INTERNO</t>
  </si>
  <si>
    <t>EXTERNO</t>
  </si>
  <si>
    <t>Prototipo:</t>
  </si>
  <si>
    <t>Manzana:</t>
  </si>
  <si>
    <t>Lote:</t>
  </si>
  <si>
    <t>Número oficial:</t>
  </si>
  <si>
    <t>Superficie:</t>
  </si>
  <si>
    <t>Calle:</t>
  </si>
  <si>
    <t>Precio:</t>
  </si>
  <si>
    <t>L O T E</t>
  </si>
  <si>
    <t>FORMA DE PAGO</t>
  </si>
  <si>
    <t>CONCEPTO</t>
  </si>
  <si>
    <t>FECHA</t>
  </si>
  <si>
    <t>ID</t>
  </si>
  <si>
    <t>CAPITAL</t>
  </si>
  <si>
    <t>INTERES</t>
  </si>
  <si>
    <t>CONTADO</t>
  </si>
  <si>
    <t>CREDITO BANCARIO</t>
  </si>
  <si>
    <t>CREDITO DIRECTO</t>
  </si>
  <si>
    <t>Forma de pago:</t>
  </si>
  <si>
    <t>Tasa interés:</t>
  </si>
  <si>
    <t>VALOR TOTAL:</t>
  </si>
  <si>
    <t>CLIENTE</t>
  </si>
  <si>
    <t>VENTAS</t>
  </si>
  <si>
    <t>DIRECTOR GENERAL</t>
  </si>
  <si>
    <t>Nombre:</t>
  </si>
  <si>
    <t>Número Oficial:</t>
  </si>
  <si>
    <t>Fraccionamiento:</t>
  </si>
  <si>
    <t>Superficie M2:</t>
  </si>
  <si>
    <t>Precio M2:</t>
  </si>
  <si>
    <t>NUMERO</t>
  </si>
  <si>
    <t>Fraccionamiento</t>
  </si>
  <si>
    <t>FRACCIONAMIENTOS</t>
  </si>
  <si>
    <t>DIRECCION GENERAL</t>
  </si>
  <si>
    <t>REPRESENTANTE LEGAL</t>
  </si>
  <si>
    <t>Mza:</t>
  </si>
  <si>
    <t>Int:</t>
  </si>
  <si>
    <t>Comprador:</t>
  </si>
  <si>
    <t>M2:</t>
  </si>
  <si>
    <t xml:space="preserve">Precio:                      </t>
  </si>
  <si>
    <t>Precio por M2: $</t>
  </si>
  <si>
    <t>Exp. Catastral:</t>
  </si>
  <si>
    <t>Plazo:</t>
  </si>
  <si>
    <t>Tasa de interés:</t>
  </si>
  <si>
    <t>Nota:</t>
  </si>
  <si>
    <t>Se procederá a la firma del contrato una vez liquidado el monto del mantenimiento, en caso de cancelación la penalización será por el importe del mantenimiento.</t>
  </si>
  <si>
    <t>DIRECCION DE ADMON. Y FINANZAS</t>
  </si>
  <si>
    <t>F O R M A  D E  P A G O</t>
  </si>
  <si>
    <t>Num. Cliente:</t>
  </si>
  <si>
    <t>CONTRATO                              VOBO</t>
  </si>
  <si>
    <t>San Pedro Garza García, Nuevo León</t>
  </si>
  <si>
    <t>KARLA MARQUEZ</t>
  </si>
  <si>
    <t>Notaria:</t>
  </si>
  <si>
    <t>DIRECCION ADMON. Y FINANZAS</t>
  </si>
  <si>
    <t>FOLIO                                         VOBO</t>
  </si>
  <si>
    <t>Esc. Pública:</t>
  </si>
  <si>
    <t>HERIBERTA CAZARES</t>
  </si>
  <si>
    <t>TITULACION</t>
  </si>
  <si>
    <t>O F E R E N T E</t>
  </si>
  <si>
    <t xml:space="preserve">L O T E </t>
  </si>
  <si>
    <t>F O R M A   D E   P A G O</t>
  </si>
  <si>
    <t xml:space="preserve">F O R M A   D E   P A G O </t>
  </si>
  <si>
    <t>Régimen conyugal:</t>
  </si>
  <si>
    <t>Código postal:</t>
  </si>
  <si>
    <t>OBSERVACIONES</t>
  </si>
  <si>
    <t>O B S E R V A C I O N E S</t>
  </si>
  <si>
    <t>Fecha de nacimiento:</t>
  </si>
  <si>
    <t>PAGO TOTAL</t>
  </si>
  <si>
    <t>PAGO CAPITAL</t>
  </si>
  <si>
    <t>R E P R E S E N T A N T E    L E G A L</t>
  </si>
  <si>
    <t>Ptototipo:</t>
  </si>
  <si>
    <t>FABIAN GONZALEZ QUIROGA</t>
  </si>
  <si>
    <t>ALEJANDRO REYES TELLEZ</t>
  </si>
  <si>
    <t>CAMPOS A CAPTURAR</t>
  </si>
  <si>
    <t>Firma Contrato:</t>
  </si>
  <si>
    <t>VINTAGO DESARROLLOS, S.A. DE C.V.</t>
  </si>
  <si>
    <t>BANCO:</t>
  </si>
  <si>
    <t>CUENTA</t>
  </si>
  <si>
    <t>CLABE:</t>
  </si>
  <si>
    <t>DATOS PARA DEPOSITOS</t>
  </si>
  <si>
    <t>Inst. Crédito:</t>
  </si>
  <si>
    <t>FECHA FIRMA DE CONTRATO:</t>
  </si>
  <si>
    <t>CONDICIONES ESPECIALES:</t>
  </si>
  <si>
    <t>CONDICIONES ESPECIALES</t>
  </si>
  <si>
    <t>Tipo de Crédito:</t>
  </si>
  <si>
    <t>Institución de Crédito:</t>
  </si>
  <si>
    <t>Número Ext. / Int.</t>
  </si>
  <si>
    <t>TERRENO</t>
  </si>
  <si>
    <t>AFIRME</t>
  </si>
  <si>
    <t>062580001121152349</t>
  </si>
  <si>
    <r>
      <t xml:space="preserve">O F E R TA   D E   C O M P R A  </t>
    </r>
    <r>
      <rPr>
        <b/>
        <sz val="16"/>
        <color theme="0"/>
        <rFont val="Calibri"/>
        <family val="2"/>
        <scheme val="minor"/>
      </rPr>
      <t>(ALT.001)</t>
    </r>
  </si>
  <si>
    <r>
      <t xml:space="preserve">O F E R T A   D E   C O M P R A  </t>
    </r>
    <r>
      <rPr>
        <b/>
        <sz val="16"/>
        <color theme="0"/>
        <rFont val="Calibri"/>
        <family val="2"/>
        <scheme val="minor"/>
      </rPr>
      <t>(ALT.001)</t>
    </r>
  </si>
  <si>
    <r>
      <t xml:space="preserve">D A T O S   G E N E R A L E S   D E L   S O L I C I T A N T E  </t>
    </r>
    <r>
      <rPr>
        <b/>
        <sz val="10"/>
        <color theme="0"/>
        <rFont val="Calibri"/>
        <family val="2"/>
        <scheme val="minor"/>
      </rPr>
      <t>(ALT.002)</t>
    </r>
  </si>
  <si>
    <r>
      <t xml:space="preserve">D A T O S   G E N E R A L E S   D E L   S O L I C I T A N T E </t>
    </r>
    <r>
      <rPr>
        <b/>
        <sz val="10"/>
        <color theme="0"/>
        <rFont val="Calibri"/>
        <family val="2"/>
        <scheme val="minor"/>
      </rPr>
      <t>(ALT.002)</t>
    </r>
  </si>
  <si>
    <t>LOS CAMPOS EN COLOR GRIS SON MEDIANTE SELECCION, ABRIR CATALOGO CON LA FLECHA</t>
  </si>
  <si>
    <t>LIC. FABIAN CARLOS GONZALEZ QUIROGA</t>
  </si>
  <si>
    <t>LOTE</t>
  </si>
  <si>
    <t>A</t>
  </si>
  <si>
    <t>DOCUMENTOS SOLICITADOS</t>
  </si>
  <si>
    <t>B</t>
  </si>
  <si>
    <t>PERSONA FISICA</t>
  </si>
  <si>
    <t>ACTAS DE NAC., MATRIMONIO EN SU CASO</t>
  </si>
  <si>
    <t>IDENTIFICACION OFICIAL -INE,S</t>
  </si>
  <si>
    <t>CURPS</t>
  </si>
  <si>
    <t>COMPROBANTE DE DOMICILIO</t>
  </si>
  <si>
    <t>CONSTANCIA DE RFC O CEDULA FISCAL</t>
  </si>
  <si>
    <t xml:space="preserve">CORREO ELECTRONICO </t>
  </si>
  <si>
    <t>TELEFONO CELULAR</t>
  </si>
  <si>
    <t xml:space="preserve">ACTA CONSTITUTIVA /REVISAR  BOLETA DE INSCRIPCION AL RPP Y PODER </t>
  </si>
  <si>
    <t>CEDULA FISCAL</t>
  </si>
  <si>
    <t>TELEFONO</t>
  </si>
  <si>
    <t>CORREO ELECTRONICO</t>
  </si>
  <si>
    <t>DOMICILIO Y GIRO DE LA EMPRESA</t>
  </si>
  <si>
    <t>PODER NOTARIAL</t>
  </si>
  <si>
    <t xml:space="preserve">CORREO ELECTRONICO  Y TEL </t>
  </si>
  <si>
    <t>COMPROBANTE DE DOMICILIO DEL REPRESENTANTE LEGAL</t>
  </si>
  <si>
    <t>HOJA DE GENERALES</t>
  </si>
  <si>
    <t xml:space="preserve">OFERTA DE COMPRA </t>
  </si>
  <si>
    <t xml:space="preserve">CONTRATO DE UBICACIÓN </t>
  </si>
  <si>
    <t xml:space="preserve">PLANO MANZANERO </t>
  </si>
  <si>
    <t>NOMBRE Y FIRMA DEL ASESOR</t>
  </si>
  <si>
    <t>VALIDACION DE ENTREGA DE DOCUMENTOS (VENTAS)</t>
  </si>
  <si>
    <t>VALIDACION DE RECEPCION DE DOCUMENTOS (TITULACION-DICTAMEN)</t>
  </si>
  <si>
    <t>KARINA MALDONADO</t>
  </si>
  <si>
    <t>NOMBRE CLIENTE:</t>
  </si>
  <si>
    <t>TIPO DE CREDITO:</t>
  </si>
  <si>
    <t>INSTITUCION:</t>
  </si>
  <si>
    <t>MANZANA</t>
  </si>
  <si>
    <t>NUM. OFICIAL</t>
  </si>
  <si>
    <t>PROTOTIPO:</t>
  </si>
  <si>
    <t>DESARROLLO:</t>
  </si>
  <si>
    <t>PERSONA MORAL</t>
  </si>
  <si>
    <t>EXPEDIENTE INTERRA</t>
  </si>
  <si>
    <t>JEFE DE VENTAS</t>
  </si>
  <si>
    <t>NOMENCLATURA:</t>
  </si>
  <si>
    <r>
      <t xml:space="preserve">CHECK LIST </t>
    </r>
    <r>
      <rPr>
        <b/>
        <sz val="14"/>
        <color theme="0"/>
        <rFont val="Calibri"/>
        <family val="2"/>
        <scheme val="minor"/>
      </rPr>
      <t>(ALT.000)</t>
    </r>
  </si>
  <si>
    <t>UBICACION:</t>
  </si>
  <si>
    <t>VALOR DE LA OPERACION</t>
  </si>
  <si>
    <t>CONTRATO DE UBICACIÓN</t>
  </si>
  <si>
    <t>UBICADO EN:</t>
  </si>
  <si>
    <t>COSTO DE LA TERRENO</t>
  </si>
  <si>
    <t>CALLE</t>
  </si>
  <si>
    <t>NO.</t>
  </si>
  <si>
    <t>NOMBRE Y FIRMA DEL CLIENTE O APODERADO</t>
  </si>
  <si>
    <t>CONTRATO DE UBICACIÓN DE LOTE DE LA EMPRESA VINTAGO DESARROLLOS, SA DE CV</t>
  </si>
  <si>
    <t>CANCELACION DE UBICACIÓN</t>
  </si>
  <si>
    <t>SOLICITUD PARA CANCELAR UBICACIONES EN EL FRACCIONAMIENTO:</t>
  </si>
  <si>
    <t>NUMCTE</t>
  </si>
  <si>
    <t>NOMBRE DEL CLIENTE</t>
  </si>
  <si>
    <t>PAGOS REALIZADOS</t>
  </si>
  <si>
    <t>GASTOS ADMINISTRATIVOS</t>
  </si>
  <si>
    <t>TOTAL A DEVOLVER</t>
  </si>
  <si>
    <t>MOTIVO</t>
  </si>
  <si>
    <t>OBSERVACIONES:</t>
  </si>
  <si>
    <t>PARQUE IBP SALINAS</t>
  </si>
  <si>
    <t>SALINAS VICTORIA, NUEVO LEON</t>
  </si>
  <si>
    <t>SANTTE RESIDENCIAL</t>
  </si>
  <si>
    <r>
      <t xml:space="preserve">1. </t>
    </r>
    <r>
      <rPr>
        <b/>
        <sz val="11"/>
        <color theme="1"/>
        <rFont val="Calibri"/>
        <family val="2"/>
        <scheme val="minor"/>
      </rPr>
      <t xml:space="preserve">APORTACION: LA PRESENTE OFERTA DE COMPRA SURTIRA EFECTO UNA VEZ DEPOSITADO LA CANTIDAD DE: $15,000.00 MN POR CONCEPTO DE APORTACION A LA ASOCIACION CIVIL DE LA JUNTA DE VECINOS DEL FRACCIONAMIENTO. DICHO MONTO ES INDEPENDIENTE AL VALOR DEL LOTE. </t>
    </r>
    <r>
      <rPr>
        <sz val="11"/>
        <color theme="1"/>
        <rFont val="Calibri"/>
        <family val="2"/>
        <scheme val="minor"/>
      </rPr>
      <t xml:space="preserve">   
2. </t>
    </r>
    <r>
      <rPr>
        <b/>
        <sz val="11"/>
        <color theme="1"/>
        <rFont val="Calibri"/>
        <family val="2"/>
        <scheme val="minor"/>
      </rPr>
      <t>TASA DE INTERES:</t>
    </r>
    <r>
      <rPr>
        <sz val="11"/>
        <color theme="1"/>
        <rFont val="Calibri"/>
        <family val="2"/>
        <scheme val="minor"/>
      </rPr>
      <t xml:space="preserve">  En caso de crédito directo se aplicará una tasa de interes ordinario del 18% anual sobre saldos insolutos.         
3. </t>
    </r>
    <r>
      <rPr>
        <b/>
        <sz val="11"/>
        <color theme="1"/>
        <rFont val="Calibri"/>
        <family val="2"/>
        <scheme val="minor"/>
      </rPr>
      <t>CONDICIONES DEL CREDITO:</t>
    </r>
    <r>
      <rPr>
        <sz val="11"/>
        <color theme="1"/>
        <rFont val="Calibri"/>
        <family val="2"/>
        <scheme val="minor"/>
      </rPr>
      <t xml:space="preserve"> En caso de no pagar en la fecha establecida, causará intereses moratorios del 36%. Para el caso de incumplimiento de pago, VINTAGO DESARROLLOS, S.A. DE C.V. podrá rescindir la presente OFERTA DE COMPRA, sin notificación anticipada y podrá ejercer el cobro del pago de intereses moratorios, penalizaciones y gastos de ejecución que se generen.          
4. </t>
    </r>
    <r>
      <rPr>
        <b/>
        <sz val="11"/>
        <color theme="1"/>
        <rFont val="Calibri"/>
        <family val="2"/>
        <scheme val="minor"/>
      </rPr>
      <t>CANCELACION DE CONTRATO:</t>
    </r>
    <r>
      <rPr>
        <sz val="11"/>
        <color theme="1"/>
        <rFont val="Calibri"/>
        <family val="2"/>
        <scheme val="minor"/>
      </rPr>
      <t xml:space="preserve"> VINTAGO DESARROLLOS, S.A. DE C.V. tendrá el derecho a retener como penalización la cantidad equivalente al 20% del valor de la operación.         
5. </t>
    </r>
    <r>
      <rPr>
        <b/>
        <sz val="11"/>
        <color theme="1"/>
        <rFont val="Calibri"/>
        <family val="2"/>
        <scheme val="minor"/>
      </rPr>
      <t>GASTOS DE ESCRITURACION</t>
    </r>
    <r>
      <rPr>
        <sz val="11"/>
        <color theme="1"/>
        <rFont val="Calibri"/>
        <family val="2"/>
        <scheme val="minor"/>
      </rPr>
      <t xml:space="preserve"> serán cubiertos por el comprador con excepción del ISR. </t>
    </r>
  </si>
  <si>
    <r>
      <rPr>
        <b/>
        <sz val="11"/>
        <color theme="1"/>
        <rFont val="Calibri"/>
        <family val="2"/>
        <scheme val="minor"/>
      </rPr>
      <t xml:space="preserve">1. APORTACION: LA PRESENTE OFERTA DE COMPRA SURTIRA EFECTO UNA VEZ DEPOSITADO LA CANTIDAD DE: $15,000.00 MN POR CONCEPTO DE APORTACION A LA ASOCIACION CIVIL DE LA JUNTA DE VECINOS DEL FRACCIONAMIENTO. DICHO MONTO ES INDEPENDIENTE DEL VALOR DEL LOTE. </t>
    </r>
    <r>
      <rPr>
        <sz val="11"/>
        <color theme="1"/>
        <rFont val="Calibri"/>
        <family val="2"/>
        <scheme val="minor"/>
      </rPr>
      <t xml:space="preserve">        
2. </t>
    </r>
    <r>
      <rPr>
        <b/>
        <sz val="11"/>
        <color theme="1"/>
        <rFont val="Calibri"/>
        <family val="2"/>
        <scheme val="minor"/>
      </rPr>
      <t>TASA DE INTERES:</t>
    </r>
    <r>
      <rPr>
        <sz val="11"/>
        <color theme="1"/>
        <rFont val="Calibri"/>
        <family val="2"/>
        <scheme val="minor"/>
      </rPr>
      <t xml:space="preserve">  En caso de crédito directo se aplicará una tasa de interes ordinario del 18% anual sobre saldos insolutos.         
3. </t>
    </r>
    <r>
      <rPr>
        <b/>
        <sz val="11"/>
        <color theme="1"/>
        <rFont val="Calibri"/>
        <family val="2"/>
        <scheme val="minor"/>
      </rPr>
      <t>CONDICIONES DEL CREDITO:</t>
    </r>
    <r>
      <rPr>
        <sz val="11"/>
        <color theme="1"/>
        <rFont val="Calibri"/>
        <family val="2"/>
        <scheme val="minor"/>
      </rPr>
      <t xml:space="preserve"> En caso de no pagar en la fecha establecida, causará intereses moratorios del 36%. Para el caso de incumplimiento de pago, VINTAGO DESARROLLOS, S.A. DE C.V. podrá rescindir la presente OFERTA DE COMPRA, sin notificación anticipada y podrá ejercer el cobro del pago de intereses moratorios, penalizaciones y gastos de ejecución que se generen.          
4. </t>
    </r>
    <r>
      <rPr>
        <b/>
        <sz val="11"/>
        <color theme="1"/>
        <rFont val="Calibri"/>
        <family val="2"/>
        <scheme val="minor"/>
      </rPr>
      <t>CANCELACION DE CONTRATO:</t>
    </r>
    <r>
      <rPr>
        <sz val="11"/>
        <color theme="1"/>
        <rFont val="Calibri"/>
        <family val="2"/>
        <scheme val="minor"/>
      </rPr>
      <t xml:space="preserve"> VINTAGO DESARROLLOS, S.A. DE C.V. tendrá el derecho a retener como penalización la cantidad equivalente al 20% del valor de la operación.         
5. </t>
    </r>
    <r>
      <rPr>
        <b/>
        <sz val="11"/>
        <color theme="1"/>
        <rFont val="Calibri"/>
        <family val="2"/>
        <scheme val="minor"/>
      </rPr>
      <t>GASTOS DE ESCRITURACION</t>
    </r>
    <r>
      <rPr>
        <sz val="11"/>
        <color theme="1"/>
        <rFont val="Calibri"/>
        <family val="2"/>
        <scheme val="minor"/>
      </rPr>
      <t xml:space="preserve"> serán cubiertos por el comprador con excepción del ISR. </t>
    </r>
  </si>
  <si>
    <t>GONZALEZ</t>
  </si>
  <si>
    <t>SEPARACION</t>
  </si>
  <si>
    <t>ENGANCHE</t>
  </si>
  <si>
    <t>MEXICANA</t>
  </si>
  <si>
    <t>MONTERREY</t>
  </si>
  <si>
    <t>ESCRITURACIÓN</t>
  </si>
  <si>
    <t>AZALEA</t>
  </si>
  <si>
    <t>YOLANDA VILLAREAL GARZA</t>
  </si>
  <si>
    <t>AMIRA IRACEMA</t>
  </si>
  <si>
    <t>TORRES</t>
  </si>
  <si>
    <t>TOGA710207HC3</t>
  </si>
  <si>
    <t>TOOGA710207MCLRNM09</t>
  </si>
  <si>
    <t>PIEDRAS NEGRAS, COAHUILA</t>
  </si>
  <si>
    <t>FINANCIERA</t>
  </si>
  <si>
    <t xml:space="preserve">CALLE VENEDELLO </t>
  </si>
  <si>
    <t>VILLAS CANTERIAS</t>
  </si>
  <si>
    <t>-</t>
  </si>
  <si>
    <t>81 1753 3008</t>
  </si>
  <si>
    <t>amira_torres@hotmail.com</t>
  </si>
  <si>
    <t>MARIA ELENA</t>
  </si>
  <si>
    <t>HINOJOSA</t>
  </si>
  <si>
    <t>PLANCARTE</t>
  </si>
  <si>
    <t>26 ENERO 2026</t>
  </si>
  <si>
    <t>14 ENERO 2026</t>
  </si>
  <si>
    <t>2 MARZO 2026</t>
  </si>
  <si>
    <t>MARIA ELENA HINOJOSA</t>
  </si>
  <si>
    <t>AMIRA TORRES</t>
  </si>
  <si>
    <t>C O T I Z A C I O N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</si>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</sst>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000"/>
    <numFmt numFmtId="166" formatCode="#,##0.000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Tw Cen MT"/>
      <family val="2"/>
    </font>
    <font>
      <b/>
      <sz val="9"/>
      <color theme="7" tint="-0.499984740745262"/>
      <name val="Arial Unicode MS"/>
      <family val="2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sz val="14"/>
      <name val="Calibri"/>
      <family val="2"/>
      <scheme val="minor"/>
    </font>
    <font>
      <sz val="16"/>
      <name val="Calibri"/>
      <family val="2"/>
      <scheme val="minor"/>
    </font>
    <font>
      <sz val="18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2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Tw Cen MT"/>
      <family val="2"/>
    </font>
    <font>
      <b/>
      <sz val="24"/>
      <color theme="0"/>
      <name val="Arial Black"/>
      <family val="2"/>
    </font>
    <font>
      <sz val="11"/>
      <color theme="1"/>
      <name val="Arial Black"/>
      <family val="2"/>
    </font>
    <font>
      <b/>
      <sz val="16"/>
      <color theme="1"/>
      <name val="Tw Cen MT"/>
      <family val="2"/>
    </font>
    <font>
      <b/>
      <sz val="14"/>
      <color theme="1"/>
      <name val="Tw Cen MT"/>
      <family val="2"/>
    </font>
    <font>
      <b/>
      <sz val="12"/>
      <color theme="1"/>
      <name val="Tw Cen MT"/>
      <family val="2"/>
    </font>
    <font>
      <sz val="12"/>
      <color theme="1"/>
      <name val="Tw Cen MT"/>
      <family val="2"/>
    </font>
    <font>
      <b/>
      <sz val="11"/>
      <color theme="1"/>
      <name val="Tw Cen MT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auto="1"/>
      </bottom>
      <diagonal/>
    </border>
    <border>
      <left/>
      <right style="medium">
        <color auto="1"/>
      </right>
      <top style="hair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</cellStyleXfs>
  <cellXfs count="477">
    <xf numFmtId="0" fontId="0" fillId="0" borderId="0" xfId="0"/>
    <xf numFmtId="0" fontId="8" fillId="0" borderId="14" xfId="0" applyFont="1" applyBorder="1" applyAlignment="1" applyProtection="1">
      <alignment horizontal="left" vertical="center"/>
      <protection hidden="1"/>
    </xf>
    <xf numFmtId="0" fontId="8" fillId="0" borderId="15" xfId="0" applyFont="1" applyBorder="1" applyAlignment="1" applyProtection="1">
      <alignment horizontal="left" vertical="center"/>
      <protection hidden="1"/>
    </xf>
    <xf numFmtId="0" fontId="8" fillId="0" borderId="19" xfId="0" applyFont="1" applyBorder="1" applyAlignment="1" applyProtection="1">
      <alignment horizontal="left" vertical="center"/>
      <protection hidden="1"/>
    </xf>
    <xf numFmtId="0" fontId="8" fillId="0" borderId="21" xfId="0" applyFont="1" applyBorder="1" applyAlignment="1" applyProtection="1">
      <alignment horizontal="left" vertical="center"/>
      <protection hidden="1"/>
    </xf>
    <xf numFmtId="0" fontId="7" fillId="0" borderId="11" xfId="0" applyFont="1" applyBorder="1" applyAlignment="1" applyProtection="1">
      <alignment horizontal="left" vertical="center"/>
      <protection locked="0" hidden="1"/>
    </xf>
    <xf numFmtId="0" fontId="7" fillId="0" borderId="12" xfId="0" applyFont="1" applyBorder="1" applyAlignment="1" applyProtection="1">
      <alignment horizontal="left" vertical="center"/>
      <protection locked="0" hidden="1"/>
    </xf>
    <xf numFmtId="14" fontId="7" fillId="0" borderId="18" xfId="0" applyNumberFormat="1" applyFont="1" applyBorder="1" applyAlignment="1" applyProtection="1">
      <alignment horizontal="left" vertical="center"/>
      <protection locked="0" hidden="1"/>
    </xf>
    <xf numFmtId="0" fontId="7" fillId="0" borderId="18" xfId="0" applyFont="1" applyBorder="1" applyAlignment="1" applyProtection="1">
      <alignment horizontal="left" vertical="center"/>
      <protection locked="0" hidden="1"/>
    </xf>
    <xf numFmtId="0" fontId="7" fillId="0" borderId="18" xfId="3" applyFont="1" applyBorder="1" applyAlignment="1" applyProtection="1">
      <alignment horizontal="left" vertical="center"/>
      <protection locked="0" hidden="1"/>
    </xf>
    <xf numFmtId="0" fontId="7" fillId="3" borderId="18" xfId="0" applyFont="1" applyFill="1" applyBorder="1" applyAlignment="1" applyProtection="1">
      <alignment horizontal="left" vertical="center"/>
      <protection locked="0" hidden="1"/>
    </xf>
    <xf numFmtId="0" fontId="7" fillId="4" borderId="18" xfId="0" applyFont="1" applyFill="1" applyBorder="1" applyAlignment="1" applyProtection="1">
      <alignment horizontal="left" vertical="center"/>
      <protection locked="0" hidden="1"/>
    </xf>
    <xf numFmtId="0" fontId="4" fillId="0" borderId="0" xfId="0" applyFont="1"/>
    <xf numFmtId="0" fontId="5" fillId="0" borderId="0" xfId="0" applyFont="1"/>
    <xf numFmtId="0" fontId="8" fillId="0" borderId="25" xfId="0" applyFont="1" applyBorder="1" applyAlignment="1" applyProtection="1">
      <alignment horizontal="left" vertical="center"/>
      <protection hidden="1"/>
    </xf>
    <xf numFmtId="0" fontId="7" fillId="0" borderId="24" xfId="0" applyFont="1" applyBorder="1" applyAlignment="1" applyProtection="1">
      <alignment horizontal="left" vertical="center"/>
      <protection locked="0" hidden="1"/>
    </xf>
    <xf numFmtId="0" fontId="8" fillId="0" borderId="23" xfId="0" applyFont="1" applyBorder="1" applyAlignment="1" applyProtection="1">
      <alignment horizontal="left" vertical="center"/>
      <protection hidden="1"/>
    </xf>
    <xf numFmtId="0" fontId="7" fillId="0" borderId="22" xfId="0" applyFont="1" applyBorder="1" applyAlignment="1" applyProtection="1">
      <alignment horizontal="left" vertical="center"/>
      <protection locked="0" hidden="1"/>
    </xf>
    <xf numFmtId="14" fontId="7" fillId="0" borderId="24" xfId="0" applyNumberFormat="1" applyFont="1" applyBorder="1" applyAlignment="1" applyProtection="1">
      <alignment horizontal="left" vertical="center"/>
      <protection locked="0" hidden="1"/>
    </xf>
    <xf numFmtId="1" fontId="7" fillId="0" borderId="24" xfId="1" applyNumberFormat="1" applyFont="1" applyFill="1" applyBorder="1" applyAlignment="1" applyProtection="1">
      <alignment horizontal="left" vertical="center"/>
      <protection hidden="1"/>
    </xf>
    <xf numFmtId="0" fontId="8" fillId="0" borderId="27" xfId="0" applyFont="1" applyBorder="1" applyAlignment="1" applyProtection="1">
      <alignment horizontal="left" vertical="center"/>
      <protection hidden="1"/>
    </xf>
    <xf numFmtId="0" fontId="7" fillId="0" borderId="26" xfId="0" applyFont="1" applyBorder="1" applyAlignment="1" applyProtection="1">
      <alignment horizontal="left" vertical="center"/>
      <protection locked="0" hidden="1"/>
    </xf>
    <xf numFmtId="0" fontId="9" fillId="0" borderId="0" xfId="0" applyFont="1" applyAlignment="1" applyProtection="1">
      <alignment vertical="center" textRotation="90"/>
      <protection hidden="1"/>
    </xf>
    <xf numFmtId="0" fontId="9" fillId="0" borderId="0" xfId="0" applyFont="1" applyAlignment="1" applyProtection="1">
      <alignment horizontal="center" vertical="center" textRotation="90"/>
      <protection hidden="1"/>
    </xf>
    <xf numFmtId="0" fontId="10" fillId="0" borderId="0" xfId="0" applyFont="1"/>
    <xf numFmtId="0" fontId="7" fillId="3" borderId="24" xfId="0" applyFont="1" applyFill="1" applyBorder="1" applyAlignment="1" applyProtection="1">
      <alignment horizontal="left" vertical="center"/>
      <protection locked="0" hidden="1"/>
    </xf>
    <xf numFmtId="0" fontId="8" fillId="0" borderId="0" xfId="0" applyFont="1" applyAlignment="1" applyProtection="1">
      <alignment horizontal="left" vertical="center"/>
      <protection hidden="1"/>
    </xf>
    <xf numFmtId="0" fontId="7" fillId="0" borderId="0" xfId="0" applyFont="1" applyAlignment="1" applyProtection="1">
      <alignment horizontal="left" vertical="center"/>
      <protection locked="0" hidden="1"/>
    </xf>
    <xf numFmtId="0" fontId="8" fillId="0" borderId="13" xfId="0" applyFont="1" applyBorder="1" applyAlignment="1" applyProtection="1">
      <alignment horizontal="left" vertical="center"/>
      <protection hidden="1"/>
    </xf>
    <xf numFmtId="0" fontId="7" fillId="3" borderId="26" xfId="0" applyFont="1" applyFill="1" applyBorder="1" applyAlignment="1" applyProtection="1">
      <alignment horizontal="left" vertical="center"/>
      <protection locked="0" hidden="1"/>
    </xf>
    <xf numFmtId="0" fontId="7" fillId="3" borderId="22" xfId="0" applyFont="1" applyFill="1" applyBorder="1" applyAlignment="1" applyProtection="1">
      <alignment horizontal="left" vertical="center"/>
      <protection locked="0" hidden="1"/>
    </xf>
    <xf numFmtId="44" fontId="7" fillId="0" borderId="28" xfId="2" applyFont="1" applyBorder="1" applyAlignment="1" applyProtection="1">
      <alignment horizontal="left" vertical="center"/>
      <protection locked="0" hidden="1"/>
    </xf>
    <xf numFmtId="14" fontId="8" fillId="0" borderId="29" xfId="0" applyNumberFormat="1" applyFont="1" applyBorder="1" applyAlignment="1" applyProtection="1">
      <alignment horizontal="left" vertical="center"/>
      <protection locked="0" hidden="1"/>
    </xf>
    <xf numFmtId="0" fontId="8" fillId="0" borderId="25" xfId="0" applyFont="1" applyBorder="1" applyAlignment="1" applyProtection="1">
      <alignment horizontal="center" vertical="center"/>
      <protection hidden="1"/>
    </xf>
    <xf numFmtId="0" fontId="8" fillId="0" borderId="27" xfId="0" applyFont="1" applyBorder="1" applyAlignment="1" applyProtection="1">
      <alignment horizontal="center" vertical="center"/>
      <protection hidden="1"/>
    </xf>
    <xf numFmtId="0" fontId="7" fillId="0" borderId="25" xfId="0" applyFont="1" applyBorder="1" applyAlignment="1" applyProtection="1">
      <alignment horizontal="center" vertical="center"/>
      <protection hidden="1"/>
    </xf>
    <xf numFmtId="44" fontId="8" fillId="0" borderId="29" xfId="2" applyFont="1" applyBorder="1" applyAlignment="1" applyProtection="1">
      <alignment horizontal="left" vertical="center"/>
      <protection locked="0" hidden="1"/>
    </xf>
    <xf numFmtId="0" fontId="11" fillId="0" borderId="0" xfId="0" applyFont="1"/>
    <xf numFmtId="0" fontId="5" fillId="0" borderId="0" xfId="0" applyFont="1" applyAlignment="1">
      <alignment horizontal="center" vertical="center"/>
    </xf>
    <xf numFmtId="0" fontId="7" fillId="3" borderId="12" xfId="0" applyFont="1" applyFill="1" applyBorder="1" applyAlignment="1" applyProtection="1">
      <alignment horizontal="left" vertical="center"/>
      <protection locked="0" hidden="1"/>
    </xf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2" fillId="0" borderId="66" xfId="0" applyFont="1" applyBorder="1" applyAlignment="1">
      <alignment horizontal="center" vertical="center"/>
    </xf>
    <xf numFmtId="0" fontId="12" fillId="0" borderId="0" xfId="0" applyFont="1"/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4" fontId="14" fillId="0" borderId="31" xfId="0" applyNumberFormat="1" applyFont="1" applyBorder="1" applyAlignment="1">
      <alignment vertical="center"/>
    </xf>
    <xf numFmtId="44" fontId="14" fillId="0" borderId="63" xfId="2" applyFont="1" applyBorder="1" applyAlignment="1">
      <alignment vertical="center"/>
    </xf>
    <xf numFmtId="0" fontId="0" fillId="0" borderId="47" xfId="0" applyBorder="1"/>
    <xf numFmtId="0" fontId="6" fillId="2" borderId="6" xfId="0" applyFont="1" applyFill="1" applyBorder="1" applyAlignment="1" applyProtection="1">
      <alignment horizontal="left" vertical="center"/>
      <protection hidden="1"/>
    </xf>
    <xf numFmtId="0" fontId="19" fillId="0" borderId="68" xfId="0" applyFont="1" applyBorder="1" applyAlignment="1">
      <alignment horizontal="left" vertical="center" wrapText="1"/>
    </xf>
    <xf numFmtId="14" fontId="18" fillId="0" borderId="45" xfId="0" applyNumberFormat="1" applyFont="1" applyBorder="1" applyAlignment="1" applyProtection="1">
      <alignment horizontal="left" vertical="center"/>
      <protection locked="0" hidden="1"/>
    </xf>
    <xf numFmtId="14" fontId="18" fillId="0" borderId="54" xfId="0" applyNumberFormat="1" applyFont="1" applyBorder="1" applyAlignment="1" applyProtection="1">
      <alignment horizontal="left" vertical="center"/>
      <protection locked="0" hidden="1"/>
    </xf>
    <xf numFmtId="14" fontId="18" fillId="0" borderId="47" xfId="0" applyNumberFormat="1" applyFont="1" applyBorder="1" applyAlignment="1" applyProtection="1">
      <alignment horizontal="left" vertical="center"/>
      <protection locked="0" hidden="1"/>
    </xf>
    <xf numFmtId="14" fontId="18" fillId="0" borderId="31" xfId="0" applyNumberFormat="1" applyFont="1" applyBorder="1" applyAlignment="1" applyProtection="1">
      <alignment horizontal="left" vertical="center"/>
      <protection locked="0" hidden="1"/>
    </xf>
    <xf numFmtId="14" fontId="18" fillId="0" borderId="69" xfId="0" applyNumberFormat="1" applyFont="1" applyBorder="1" applyAlignment="1" applyProtection="1">
      <alignment horizontal="left" vertical="center"/>
      <protection locked="0" hidden="1"/>
    </xf>
    <xf numFmtId="14" fontId="18" fillId="0" borderId="36" xfId="0" applyNumberFormat="1" applyFont="1" applyBorder="1" applyAlignment="1" applyProtection="1">
      <alignment horizontal="left" vertical="center"/>
      <protection locked="0" hidden="1"/>
    </xf>
    <xf numFmtId="14" fontId="18" fillId="0" borderId="49" xfId="0" applyNumberFormat="1" applyFont="1" applyBorder="1" applyAlignment="1" applyProtection="1">
      <alignment horizontal="left" vertical="center"/>
      <protection locked="0" hidden="1"/>
    </xf>
    <xf numFmtId="14" fontId="18" fillId="0" borderId="60" xfId="0" applyNumberFormat="1" applyFont="1" applyBorder="1" applyAlignment="1" applyProtection="1">
      <alignment horizontal="left" vertical="center"/>
      <protection locked="0" hidden="1"/>
    </xf>
    <xf numFmtId="14" fontId="14" fillId="0" borderId="48" xfId="0" applyNumberFormat="1" applyFont="1" applyBorder="1" applyAlignment="1">
      <alignment horizontal="left" vertical="center"/>
    </xf>
    <xf numFmtId="1" fontId="14" fillId="0" borderId="48" xfId="0" applyNumberFormat="1" applyFont="1" applyBorder="1" applyAlignment="1">
      <alignment horizontal="left" vertical="center"/>
    </xf>
    <xf numFmtId="0" fontId="0" fillId="0" borderId="49" xfId="0" applyBorder="1"/>
    <xf numFmtId="0" fontId="0" fillId="0" borderId="50" xfId="0" applyBorder="1"/>
    <xf numFmtId="0" fontId="14" fillId="0" borderId="0" xfId="0" applyFont="1"/>
    <xf numFmtId="14" fontId="7" fillId="0" borderId="74" xfId="0" applyNumberFormat="1" applyFont="1" applyBorder="1" applyAlignment="1" applyProtection="1">
      <alignment horizontal="center" vertical="center"/>
      <protection locked="0" hidden="1"/>
    </xf>
    <xf numFmtId="1" fontId="7" fillId="0" borderId="75" xfId="0" applyNumberFormat="1" applyFont="1" applyBorder="1" applyAlignment="1" applyProtection="1">
      <alignment horizontal="center" vertical="center"/>
      <protection locked="0" hidden="1"/>
    </xf>
    <xf numFmtId="164" fontId="14" fillId="0" borderId="78" xfId="0" applyNumberFormat="1" applyFont="1" applyBorder="1"/>
    <xf numFmtId="44" fontId="14" fillId="0" borderId="78" xfId="0" applyNumberFormat="1" applyFont="1" applyBorder="1"/>
    <xf numFmtId="44" fontId="7" fillId="0" borderId="29" xfId="2" applyFont="1" applyBorder="1" applyAlignment="1" applyProtection="1">
      <alignment horizontal="left" vertical="center"/>
      <protection locked="0" hidden="1"/>
    </xf>
    <xf numFmtId="0" fontId="6" fillId="2" borderId="16" xfId="0" applyFont="1" applyFill="1" applyBorder="1" applyAlignment="1" applyProtection="1">
      <alignment horizontal="center" vertical="center"/>
      <protection hidden="1"/>
    </xf>
    <xf numFmtId="0" fontId="7" fillId="0" borderId="23" xfId="0" applyFont="1" applyBorder="1" applyAlignment="1" applyProtection="1">
      <alignment horizontal="center" vertical="center"/>
      <protection hidden="1"/>
    </xf>
    <xf numFmtId="44" fontId="5" fillId="0" borderId="22" xfId="0" applyNumberFormat="1" applyFont="1" applyBorder="1"/>
    <xf numFmtId="44" fontId="5" fillId="0" borderId="24" xfId="0" applyNumberFormat="1" applyFont="1" applyBorder="1"/>
    <xf numFmtId="0" fontId="5" fillId="0" borderId="24" xfId="0" applyFont="1" applyBorder="1"/>
    <xf numFmtId="14" fontId="8" fillId="6" borderId="29" xfId="0" applyNumberFormat="1" applyFont="1" applyFill="1" applyBorder="1" applyAlignment="1" applyProtection="1">
      <alignment horizontal="left" vertical="center"/>
      <protection locked="0" hidden="1"/>
    </xf>
    <xf numFmtId="44" fontId="7" fillId="6" borderId="80" xfId="2" applyFont="1" applyFill="1" applyBorder="1" applyAlignment="1" applyProtection="1">
      <alignment horizontal="left" vertical="center"/>
      <protection locked="0" hidden="1"/>
    </xf>
    <xf numFmtId="44" fontId="7" fillId="6" borderId="29" xfId="2" applyFont="1" applyFill="1" applyBorder="1" applyAlignment="1" applyProtection="1">
      <alignment horizontal="left" vertical="center"/>
      <protection locked="0" hidden="1"/>
    </xf>
    <xf numFmtId="14" fontId="20" fillId="0" borderId="30" xfId="0" applyNumberFormat="1" applyFont="1" applyBorder="1" applyAlignment="1" applyProtection="1">
      <alignment horizontal="left" vertical="center"/>
      <protection locked="0" hidden="1"/>
    </xf>
    <xf numFmtId="14" fontId="21" fillId="0" borderId="30" xfId="0" applyNumberFormat="1" applyFont="1" applyBorder="1" applyAlignment="1" applyProtection="1">
      <alignment horizontal="left" vertical="center"/>
      <protection locked="0" hidden="1"/>
    </xf>
    <xf numFmtId="44" fontId="20" fillId="0" borderId="30" xfId="2" applyFont="1" applyBorder="1" applyAlignment="1" applyProtection="1">
      <alignment horizontal="left" vertical="center"/>
      <protection locked="0" hidden="1"/>
    </xf>
    <xf numFmtId="44" fontId="15" fillId="0" borderId="26" xfId="0" applyNumberFormat="1" applyFont="1" applyBorder="1"/>
    <xf numFmtId="0" fontId="0" fillId="3" borderId="6" xfId="0" applyFill="1" applyBorder="1"/>
    <xf numFmtId="0" fontId="2" fillId="0" borderId="26" xfId="3" applyBorder="1" applyAlignment="1" applyProtection="1">
      <alignment horizontal="left" vertical="center"/>
      <protection locked="0" hidden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20" xfId="3" applyBorder="1" applyAlignment="1" applyProtection="1">
      <alignment horizontal="left" vertical="center"/>
      <protection locked="0" hidden="1"/>
    </xf>
    <xf numFmtId="0" fontId="12" fillId="0" borderId="66" xfId="0" applyFont="1" applyBorder="1" applyAlignment="1">
      <alignment horizontal="left" vertical="center"/>
    </xf>
    <xf numFmtId="44" fontId="7" fillId="6" borderId="6" xfId="2" applyFont="1" applyFill="1" applyBorder="1" applyAlignment="1" applyProtection="1">
      <alignment horizontal="left" vertical="center"/>
      <protection locked="0" hidden="1"/>
    </xf>
    <xf numFmtId="0" fontId="22" fillId="0" borderId="0" xfId="0" applyFont="1" applyAlignment="1">
      <alignment vertical="center" wrapText="1"/>
    </xf>
    <xf numFmtId="0" fontId="0" fillId="0" borderId="31" xfId="0" applyBorder="1"/>
    <xf numFmtId="0" fontId="0" fillId="0" borderId="48" xfId="0" applyBorder="1"/>
    <xf numFmtId="0" fontId="14" fillId="0" borderId="47" xfId="0" applyFont="1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/>
    </xf>
    <xf numFmtId="44" fontId="0" fillId="0" borderId="31" xfId="2" applyFont="1" applyBorder="1" applyAlignment="1">
      <alignment horizontal="left" vertical="center"/>
    </xf>
    <xf numFmtId="44" fontId="14" fillId="0" borderId="48" xfId="0" applyNumberFormat="1" applyFont="1" applyBorder="1"/>
    <xf numFmtId="0" fontId="0" fillId="0" borderId="36" xfId="0" applyBorder="1"/>
    <xf numFmtId="0" fontId="0" fillId="0" borderId="79" xfId="0" applyBorder="1"/>
    <xf numFmtId="0" fontId="0" fillId="0" borderId="60" xfId="0" applyBorder="1"/>
    <xf numFmtId="0" fontId="0" fillId="0" borderId="0" xfId="0" applyAlignment="1">
      <alignment horizontal="justify" vertical="top" wrapText="1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4" fillId="0" borderId="81" xfId="0" applyFont="1" applyBorder="1" applyAlignment="1">
      <alignment vertical="top"/>
    </xf>
    <xf numFmtId="0" fontId="14" fillId="0" borderId="82" xfId="0" applyFont="1" applyBorder="1" applyAlignment="1">
      <alignment vertical="top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0" xfId="0" applyAlignment="1">
      <alignment horizontal="left"/>
    </xf>
    <xf numFmtId="0" fontId="14" fillId="4" borderId="91" xfId="0" applyFont="1" applyFill="1" applyBorder="1" applyAlignment="1">
      <alignment horizontal="center" vertical="center"/>
    </xf>
    <xf numFmtId="0" fontId="14" fillId="4" borderId="72" xfId="0" applyFont="1" applyFill="1" applyBorder="1" applyAlignment="1">
      <alignment horizontal="center" vertical="center"/>
    </xf>
    <xf numFmtId="0" fontId="14" fillId="4" borderId="73" xfId="0" applyFont="1" applyFill="1" applyBorder="1" applyAlignment="1">
      <alignment horizontal="center" vertical="center"/>
    </xf>
    <xf numFmtId="0" fontId="14" fillId="4" borderId="47" xfId="0" applyFont="1" applyFill="1" applyBorder="1" applyAlignment="1">
      <alignment horizontal="center" vertical="center"/>
    </xf>
    <xf numFmtId="0" fontId="14" fillId="4" borderId="31" xfId="0" applyFont="1" applyFill="1" applyBorder="1" applyAlignment="1">
      <alignment horizontal="center" vertical="center"/>
    </xf>
    <xf numFmtId="0" fontId="14" fillId="4" borderId="48" xfId="0" applyFont="1" applyFill="1" applyBorder="1" applyAlignment="1">
      <alignment horizontal="center" vertical="center"/>
    </xf>
    <xf numFmtId="0" fontId="18" fillId="0" borderId="0" xfId="0" applyFont="1"/>
    <xf numFmtId="0" fontId="7" fillId="0" borderId="0" xfId="0" applyFont="1"/>
    <xf numFmtId="0" fontId="8" fillId="0" borderId="0" xfId="0" applyFont="1"/>
    <xf numFmtId="49" fontId="0" fillId="0" borderId="50" xfId="0" applyNumberFormat="1" applyBorder="1" applyAlignment="1">
      <alignment horizontal="left" vertical="center"/>
    </xf>
    <xf numFmtId="0" fontId="7" fillId="6" borderId="12" xfId="0" applyFont="1" applyFill="1" applyBorder="1" applyAlignment="1" applyProtection="1">
      <alignment horizontal="left" vertical="center"/>
      <protection locked="0" hidden="1"/>
    </xf>
    <xf numFmtId="165" fontId="7" fillId="6" borderId="12" xfId="0" applyNumberFormat="1" applyFont="1" applyFill="1" applyBorder="1" applyAlignment="1" applyProtection="1">
      <alignment horizontal="left" vertical="center"/>
      <protection locked="0" hidden="1"/>
    </xf>
    <xf numFmtId="44" fontId="7" fillId="6" borderId="12" xfId="2" applyFont="1" applyFill="1" applyBorder="1" applyAlignment="1" applyProtection="1">
      <alignment horizontal="left" vertical="center"/>
      <protection locked="0" hidden="1"/>
    </xf>
    <xf numFmtId="4" fontId="7" fillId="6" borderId="28" xfId="0" applyNumberFormat="1" applyFont="1" applyFill="1" applyBorder="1" applyAlignment="1" applyProtection="1">
      <alignment horizontal="left" vertical="center"/>
      <protection locked="0" hidden="1"/>
    </xf>
    <xf numFmtId="0" fontId="27" fillId="0" borderId="0" xfId="0" applyFont="1" applyProtection="1">
      <protection hidden="1"/>
    </xf>
    <xf numFmtId="0" fontId="28" fillId="0" borderId="0" xfId="0" applyFont="1" applyAlignment="1" applyProtection="1">
      <alignment horizontal="right"/>
      <protection hidden="1"/>
    </xf>
    <xf numFmtId="14" fontId="18" fillId="0" borderId="0" xfId="0" applyNumberFormat="1" applyFont="1" applyAlignment="1" applyProtection="1">
      <alignment horizontal="left" vertical="center"/>
      <protection locked="0" hidden="1"/>
    </xf>
    <xf numFmtId="14" fontId="21" fillId="0" borderId="0" xfId="0" applyNumberFormat="1" applyFont="1" applyAlignment="1" applyProtection="1">
      <alignment horizontal="left" vertical="center"/>
      <protection locked="0" hidden="1"/>
    </xf>
    <xf numFmtId="0" fontId="17" fillId="0" borderId="0" xfId="0" applyFont="1" applyAlignment="1" applyProtection="1">
      <alignment horizontal="left" vertical="center"/>
      <protection locked="0" hidden="1"/>
    </xf>
    <xf numFmtId="1" fontId="17" fillId="0" borderId="0" xfId="0" applyNumberFormat="1" applyFont="1" applyAlignment="1" applyProtection="1">
      <alignment horizontal="left" vertical="center"/>
      <protection locked="0" hidden="1"/>
    </xf>
    <xf numFmtId="0" fontId="34" fillId="0" borderId="0" xfId="0" applyFont="1" applyAlignment="1" applyProtection="1">
      <alignment vertical="center"/>
      <protection locked="0" hidden="1"/>
    </xf>
    <xf numFmtId="0" fontId="34" fillId="0" borderId="0" xfId="0" applyFont="1" applyAlignment="1" applyProtection="1">
      <alignment horizontal="center" vertical="center"/>
      <protection locked="0" hidden="1"/>
    </xf>
    <xf numFmtId="0" fontId="34" fillId="0" borderId="0" xfId="0" applyFont="1" applyAlignment="1" applyProtection="1">
      <alignment horizontal="left" vertical="center"/>
      <protection locked="0" hidden="1"/>
    </xf>
    <xf numFmtId="14" fontId="17" fillId="0" borderId="0" xfId="0" applyNumberFormat="1" applyFont="1" applyAlignment="1" applyProtection="1">
      <alignment horizontal="left" vertical="center"/>
      <protection locked="0" hidden="1"/>
    </xf>
    <xf numFmtId="1" fontId="20" fillId="0" borderId="0" xfId="0" applyNumberFormat="1" applyFont="1" applyAlignment="1" applyProtection="1">
      <alignment horizontal="left" vertical="center"/>
      <protection locked="0" hidden="1"/>
    </xf>
    <xf numFmtId="14" fontId="35" fillId="0" borderId="0" xfId="0" applyNumberFormat="1" applyFont="1" applyAlignment="1" applyProtection="1">
      <alignment horizontal="left" vertical="center"/>
      <protection locked="0" hidden="1"/>
    </xf>
    <xf numFmtId="0" fontId="21" fillId="0" borderId="0" xfId="0" applyFont="1" applyAlignment="1" applyProtection="1">
      <alignment horizontal="left" vertical="center"/>
      <protection locked="0" hidden="1"/>
    </xf>
    <xf numFmtId="1" fontId="20" fillId="0" borderId="0" xfId="0" applyNumberFormat="1" applyFont="1" applyAlignment="1" applyProtection="1">
      <alignment horizontal="center" vertical="center"/>
      <protection locked="0" hidden="1"/>
    </xf>
    <xf numFmtId="14" fontId="20" fillId="0" borderId="0" xfId="0" applyNumberFormat="1" applyFont="1" applyAlignment="1" applyProtection="1">
      <alignment horizontal="center" vertical="center"/>
      <protection locked="0" hidden="1"/>
    </xf>
    <xf numFmtId="14" fontId="32" fillId="0" borderId="0" xfId="0" applyNumberFormat="1" applyFont="1" applyAlignment="1" applyProtection="1">
      <alignment horizontal="center" vertical="center"/>
      <protection locked="0" hidden="1"/>
    </xf>
    <xf numFmtId="0" fontId="35" fillId="0" borderId="0" xfId="0" applyFont="1" applyAlignment="1" applyProtection="1">
      <alignment horizontal="left" vertical="center"/>
      <protection locked="0" hidden="1"/>
    </xf>
    <xf numFmtId="1" fontId="32" fillId="0" borderId="0" xfId="0" applyNumberFormat="1" applyFont="1" applyAlignment="1" applyProtection="1">
      <alignment horizontal="left" vertical="center"/>
      <protection locked="0" hidden="1"/>
    </xf>
    <xf numFmtId="1" fontId="32" fillId="0" borderId="0" xfId="0" applyNumberFormat="1" applyFont="1" applyAlignment="1" applyProtection="1">
      <alignment horizontal="center" vertical="center"/>
      <protection locked="0" hidden="1"/>
    </xf>
    <xf numFmtId="0" fontId="24" fillId="0" borderId="0" xfId="0" applyFont="1" applyAlignment="1">
      <alignment horizontal="center" vertical="center"/>
    </xf>
    <xf numFmtId="14" fontId="37" fillId="0" borderId="0" xfId="0" applyNumberFormat="1" applyFont="1" applyAlignment="1" applyProtection="1">
      <alignment horizontal="left" vertical="center"/>
      <protection locked="0" hidden="1"/>
    </xf>
    <xf numFmtId="0" fontId="37" fillId="0" borderId="0" xfId="0" applyFont="1" applyAlignment="1" applyProtection="1">
      <alignment horizontal="center" vertical="center"/>
      <protection locked="0" hidden="1"/>
    </xf>
    <xf numFmtId="14" fontId="37" fillId="0" borderId="0" xfId="0" applyNumberFormat="1" applyFont="1" applyAlignment="1" applyProtection="1">
      <alignment horizontal="center" vertical="center"/>
      <protection locked="0" hidden="1"/>
    </xf>
    <xf numFmtId="14" fontId="40" fillId="0" borderId="24" xfId="0" applyNumberFormat="1" applyFont="1" applyBorder="1" applyAlignment="1">
      <alignment horizontal="left" vertical="center"/>
    </xf>
    <xf numFmtId="1" fontId="40" fillId="0" borderId="24" xfId="0" applyNumberFormat="1" applyFont="1" applyBorder="1" applyAlignment="1">
      <alignment horizontal="left" vertical="center"/>
    </xf>
    <xf numFmtId="0" fontId="30" fillId="0" borderId="25" xfId="0" applyFont="1" applyBorder="1" applyAlignment="1">
      <alignment horizontal="left" vertical="center"/>
    </xf>
    <xf numFmtId="0" fontId="30" fillId="0" borderId="27" xfId="0" applyFont="1" applyBorder="1" applyAlignment="1">
      <alignment horizontal="left" vertical="center"/>
    </xf>
    <xf numFmtId="0" fontId="30" fillId="0" borderId="26" xfId="0" applyFont="1" applyBorder="1" applyAlignment="1">
      <alignment horizontal="left" vertical="center"/>
    </xf>
    <xf numFmtId="14" fontId="33" fillId="4" borderId="104" xfId="0" applyNumberFormat="1" applyFont="1" applyFill="1" applyBorder="1" applyAlignment="1" applyProtection="1">
      <alignment horizontal="center" vertical="center"/>
      <protection locked="0" hidden="1"/>
    </xf>
    <xf numFmtId="1" fontId="33" fillId="4" borderId="102" xfId="0" applyNumberFormat="1" applyFont="1" applyFill="1" applyBorder="1" applyAlignment="1" applyProtection="1">
      <alignment horizontal="center" vertical="center"/>
      <protection locked="0" hidden="1"/>
    </xf>
    <xf numFmtId="14" fontId="36" fillId="0" borderId="87" xfId="0" applyNumberFormat="1" applyFont="1" applyBorder="1" applyAlignment="1" applyProtection="1">
      <alignment horizontal="center" vertical="center"/>
      <protection locked="0" hidden="1"/>
    </xf>
    <xf numFmtId="1" fontId="33" fillId="0" borderId="97" xfId="0" applyNumberFormat="1" applyFont="1" applyBorder="1" applyAlignment="1" applyProtection="1">
      <alignment horizontal="center" vertical="center"/>
      <protection locked="0" hidden="1"/>
    </xf>
    <xf numFmtId="14" fontId="36" fillId="0" borderId="44" xfId="0" applyNumberFormat="1" applyFont="1" applyBorder="1" applyAlignment="1" applyProtection="1">
      <alignment horizontal="center" vertical="center"/>
      <protection locked="0" hidden="1"/>
    </xf>
    <xf numFmtId="1" fontId="33" fillId="0" borderId="96" xfId="0" applyNumberFormat="1" applyFont="1" applyBorder="1" applyAlignment="1" applyProtection="1">
      <alignment horizontal="center" vertical="center"/>
      <protection locked="0" hidden="1"/>
    </xf>
    <xf numFmtId="14" fontId="36" fillId="0" borderId="105" xfId="0" applyNumberFormat="1" applyFont="1" applyBorder="1" applyAlignment="1" applyProtection="1">
      <alignment horizontal="center" vertical="center"/>
      <protection locked="0" hidden="1"/>
    </xf>
    <xf numFmtId="1" fontId="33" fillId="0" borderId="99" xfId="0" applyNumberFormat="1" applyFont="1" applyBorder="1" applyAlignment="1" applyProtection="1">
      <alignment horizontal="center" vertical="center"/>
      <protection locked="0" hidden="1"/>
    </xf>
    <xf numFmtId="1" fontId="33" fillId="0" borderId="97" xfId="0" applyNumberFormat="1" applyFont="1" applyBorder="1" applyAlignment="1" applyProtection="1">
      <alignment horizontal="left" vertical="center"/>
      <protection locked="0" hidden="1"/>
    </xf>
    <xf numFmtId="1" fontId="33" fillId="0" borderId="96" xfId="0" applyNumberFormat="1" applyFont="1" applyBorder="1" applyAlignment="1" applyProtection="1">
      <alignment horizontal="left" vertical="center"/>
      <protection locked="0" hidden="1"/>
    </xf>
    <xf numFmtId="1" fontId="33" fillId="0" borderId="99" xfId="0" applyNumberFormat="1" applyFont="1" applyBorder="1" applyAlignment="1" applyProtection="1">
      <alignment horizontal="left" vertical="center"/>
      <protection locked="0" hidden="1"/>
    </xf>
    <xf numFmtId="0" fontId="40" fillId="0" borderId="0" xfId="0" applyFont="1"/>
    <xf numFmtId="14" fontId="17" fillId="0" borderId="0" xfId="0" applyNumberFormat="1" applyFont="1" applyAlignment="1" applyProtection="1">
      <alignment horizontal="right" vertical="center"/>
      <protection locked="0" hidden="1"/>
    </xf>
    <xf numFmtId="0" fontId="41" fillId="0" borderId="0" xfId="0" applyFont="1" applyProtection="1">
      <protection hidden="1"/>
    </xf>
    <xf numFmtId="0" fontId="43" fillId="0" borderId="0" xfId="0" applyFont="1" applyProtection="1">
      <protection hidden="1"/>
    </xf>
    <xf numFmtId="0" fontId="41" fillId="0" borderId="0" xfId="0" applyFont="1" applyAlignment="1" applyProtection="1">
      <alignment horizontal="center"/>
      <protection hidden="1"/>
    </xf>
    <xf numFmtId="0" fontId="41" fillId="0" borderId="0" xfId="0" applyFont="1" applyAlignment="1" applyProtection="1">
      <alignment horizontal="right"/>
      <protection hidden="1"/>
    </xf>
    <xf numFmtId="0" fontId="47" fillId="0" borderId="0" xfId="0" applyFont="1" applyProtection="1">
      <protection hidden="1"/>
    </xf>
    <xf numFmtId="0" fontId="46" fillId="0" borderId="0" xfId="0" applyFont="1" applyProtection="1">
      <protection hidden="1"/>
    </xf>
    <xf numFmtId="0" fontId="41" fillId="0" borderId="0" xfId="0" applyFont="1" applyAlignment="1" applyProtection="1">
      <alignment vertical="center"/>
      <protection hidden="1"/>
    </xf>
    <xf numFmtId="0" fontId="46" fillId="0" borderId="0" xfId="0" applyFont="1" applyAlignment="1" applyProtection="1">
      <alignment horizontal="center"/>
      <protection hidden="1"/>
    </xf>
    <xf numFmtId="0" fontId="46" fillId="0" borderId="0" xfId="0" applyFont="1" applyAlignment="1" applyProtection="1">
      <alignment horizontal="left"/>
      <protection hidden="1"/>
    </xf>
    <xf numFmtId="0" fontId="41" fillId="0" borderId="0" xfId="0" applyFont="1" applyAlignment="1" applyProtection="1">
      <alignment horizontal="left" vertical="center"/>
      <protection hidden="1"/>
    </xf>
    <xf numFmtId="14" fontId="7" fillId="9" borderId="24" xfId="0" applyNumberFormat="1" applyFont="1" applyFill="1" applyBorder="1" applyAlignment="1" applyProtection="1">
      <alignment horizontal="left" vertical="center"/>
      <protection locked="0" hidden="1"/>
    </xf>
    <xf numFmtId="0" fontId="7" fillId="9" borderId="24" xfId="0" applyFont="1" applyFill="1" applyBorder="1" applyAlignment="1" applyProtection="1">
      <alignment horizontal="left" vertical="center"/>
      <protection locked="0" hidden="1"/>
    </xf>
    <xf numFmtId="0" fontId="7" fillId="9" borderId="24" xfId="3" applyFont="1" applyFill="1" applyBorder="1" applyAlignment="1" applyProtection="1">
      <alignment horizontal="left" vertical="center"/>
      <protection locked="0" hidden="1"/>
    </xf>
    <xf numFmtId="44" fontId="8" fillId="0" borderId="82" xfId="2" applyFont="1" applyFill="1" applyBorder="1" applyAlignment="1" applyProtection="1">
      <alignment horizontal="left" vertical="center"/>
      <protection locked="0" hidden="1"/>
    </xf>
    <xf numFmtId="44" fontId="8" fillId="0" borderId="32" xfId="2" applyFont="1" applyBorder="1" applyAlignment="1" applyProtection="1">
      <alignment horizontal="left" vertical="center"/>
      <protection locked="0" hidden="1"/>
    </xf>
    <xf numFmtId="14" fontId="8" fillId="6" borderId="0" xfId="0" applyNumberFormat="1" applyFont="1" applyFill="1" applyAlignment="1" applyProtection="1">
      <alignment horizontal="left" vertical="center"/>
      <protection locked="0" hidden="1"/>
    </xf>
    <xf numFmtId="166" fontId="7" fillId="6" borderId="12" xfId="0" applyNumberFormat="1" applyFont="1" applyFill="1" applyBorder="1" applyAlignment="1" applyProtection="1">
      <alignment horizontal="left" vertical="center"/>
      <protection locked="0" hidden="1"/>
    </xf>
    <xf numFmtId="0" fontId="0" fillId="0" borderId="62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16" fillId="3" borderId="37" xfId="0" applyFont="1" applyFill="1" applyBorder="1" applyAlignment="1">
      <alignment horizontal="left" vertical="center"/>
    </xf>
    <xf numFmtId="0" fontId="16" fillId="3" borderId="38" xfId="0" applyFont="1" applyFill="1" applyBorder="1" applyAlignment="1">
      <alignment horizontal="left" vertical="center"/>
    </xf>
    <xf numFmtId="0" fontId="16" fillId="3" borderId="39" xfId="0" applyFont="1" applyFill="1" applyBorder="1" applyAlignment="1">
      <alignment horizontal="left" vertical="center"/>
    </xf>
    <xf numFmtId="1" fontId="17" fillId="0" borderId="29" xfId="0" applyNumberFormat="1" applyFont="1" applyBorder="1" applyAlignment="1" applyProtection="1">
      <alignment horizontal="left" vertical="center"/>
      <protection locked="0" hidden="1"/>
    </xf>
    <xf numFmtId="1" fontId="17" fillId="0" borderId="32" xfId="0" applyNumberFormat="1" applyFont="1" applyBorder="1" applyAlignment="1" applyProtection="1">
      <alignment horizontal="left" vertical="center"/>
      <protection locked="0" hidden="1"/>
    </xf>
    <xf numFmtId="1" fontId="17" fillId="0" borderId="56" xfId="0" applyNumberFormat="1" applyFont="1" applyBorder="1" applyAlignment="1" applyProtection="1">
      <alignment horizontal="left" vertical="center"/>
      <protection locked="0" hidden="1"/>
    </xf>
    <xf numFmtId="0" fontId="2" fillId="0" borderId="29" xfId="3" applyBorder="1" applyAlignment="1" applyProtection="1">
      <alignment horizontal="left" vertical="center"/>
      <protection locked="0" hidden="1"/>
    </xf>
    <xf numFmtId="0" fontId="17" fillId="0" borderId="32" xfId="0" applyFont="1" applyBorder="1" applyAlignment="1" applyProtection="1">
      <alignment horizontal="left" vertical="center"/>
      <protection locked="0" hidden="1"/>
    </xf>
    <xf numFmtId="0" fontId="17" fillId="0" borderId="56" xfId="0" applyFont="1" applyBorder="1" applyAlignment="1" applyProtection="1">
      <alignment horizontal="left" vertical="center"/>
      <protection locked="0" hidden="1"/>
    </xf>
    <xf numFmtId="14" fontId="17" fillId="0" borderId="29" xfId="0" applyNumberFormat="1" applyFont="1" applyBorder="1" applyAlignment="1" applyProtection="1">
      <alignment horizontal="left" vertical="center"/>
      <protection locked="0" hidden="1"/>
    </xf>
    <xf numFmtId="14" fontId="17" fillId="0" borderId="32" xfId="0" applyNumberFormat="1" applyFont="1" applyBorder="1" applyAlignment="1" applyProtection="1">
      <alignment horizontal="left" vertical="center"/>
      <protection locked="0" hidden="1"/>
    </xf>
    <xf numFmtId="14" fontId="17" fillId="0" borderId="56" xfId="0" applyNumberFormat="1" applyFont="1" applyBorder="1" applyAlignment="1" applyProtection="1">
      <alignment horizontal="left" vertical="center"/>
      <protection locked="0" hidden="1"/>
    </xf>
    <xf numFmtId="1" fontId="17" fillId="0" borderId="57" xfId="0" applyNumberFormat="1" applyFont="1" applyBorder="1" applyAlignment="1" applyProtection="1">
      <alignment horizontal="left" vertical="center"/>
      <protection locked="0" hidden="1"/>
    </xf>
    <xf numFmtId="1" fontId="17" fillId="0" borderId="58" xfId="0" applyNumberFormat="1" applyFont="1" applyBorder="1" applyAlignment="1" applyProtection="1">
      <alignment horizontal="left" vertical="center"/>
      <protection locked="0" hidden="1"/>
    </xf>
    <xf numFmtId="1" fontId="17" fillId="0" borderId="61" xfId="0" applyNumberFormat="1" applyFont="1" applyBorder="1" applyAlignment="1" applyProtection="1">
      <alignment horizontal="left" vertical="center"/>
      <protection locked="0" hidden="1"/>
    </xf>
    <xf numFmtId="0" fontId="0" fillId="0" borderId="7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3" xfId="0" applyBorder="1" applyAlignment="1">
      <alignment horizontal="center"/>
    </xf>
    <xf numFmtId="44" fontId="0" fillId="0" borderId="29" xfId="2" applyFont="1" applyBorder="1" applyAlignment="1">
      <alignment horizontal="center"/>
    </xf>
    <xf numFmtId="44" fontId="0" fillId="0" borderId="33" xfId="2" applyFont="1" applyBorder="1" applyAlignment="1">
      <alignment horizontal="center"/>
    </xf>
    <xf numFmtId="0" fontId="11" fillId="0" borderId="0" xfId="0" applyFont="1" applyAlignment="1">
      <alignment horizontal="center"/>
    </xf>
    <xf numFmtId="44" fontId="14" fillId="0" borderId="29" xfId="0" applyNumberFormat="1" applyFont="1" applyBorder="1" applyAlignment="1">
      <alignment horizontal="center"/>
    </xf>
    <xf numFmtId="0" fontId="14" fillId="0" borderId="33" xfId="0" applyFont="1" applyBorder="1" applyAlignment="1">
      <alignment horizontal="center"/>
    </xf>
    <xf numFmtId="14" fontId="0" fillId="0" borderId="29" xfId="0" applyNumberFormat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4" fillId="4" borderId="92" xfId="0" applyFont="1" applyFill="1" applyBorder="1" applyAlignment="1">
      <alignment horizontal="center" vertical="center"/>
    </xf>
    <xf numFmtId="0" fontId="14" fillId="4" borderId="93" xfId="0" applyFont="1" applyFill="1" applyBorder="1" applyAlignment="1">
      <alignment horizontal="center" vertical="center"/>
    </xf>
    <xf numFmtId="0" fontId="16" fillId="3" borderId="42" xfId="0" applyFont="1" applyFill="1" applyBorder="1" applyAlignment="1">
      <alignment horizontal="left" vertical="center"/>
    </xf>
    <xf numFmtId="0" fontId="16" fillId="3" borderId="43" xfId="0" applyFont="1" applyFill="1" applyBorder="1" applyAlignment="1">
      <alignment horizontal="left" vertical="center"/>
    </xf>
    <xf numFmtId="0" fontId="16" fillId="3" borderId="44" xfId="0" applyFont="1" applyFill="1" applyBorder="1" applyAlignment="1">
      <alignment horizontal="left" vertical="center"/>
    </xf>
    <xf numFmtId="0" fontId="11" fillId="0" borderId="4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94" xfId="0" applyBorder="1" applyAlignment="1">
      <alignment horizontal="center"/>
    </xf>
    <xf numFmtId="0" fontId="0" fillId="0" borderId="95" xfId="0" applyBorder="1" applyAlignment="1">
      <alignment horizontal="center"/>
    </xf>
    <xf numFmtId="0" fontId="14" fillId="0" borderId="0" xfId="0" applyFont="1" applyAlignment="1">
      <alignment horizontal="center"/>
    </xf>
    <xf numFmtId="0" fontId="17" fillId="0" borderId="29" xfId="0" applyFont="1" applyBorder="1" applyAlignment="1" applyProtection="1">
      <alignment horizontal="left" vertical="center"/>
      <protection locked="0" hidden="1"/>
    </xf>
    <xf numFmtId="0" fontId="17" fillId="0" borderId="33" xfId="0" applyFont="1" applyBorder="1" applyAlignment="1" applyProtection="1">
      <alignment horizontal="left" vertical="center"/>
      <protection locked="0" hidden="1"/>
    </xf>
    <xf numFmtId="0" fontId="17" fillId="0" borderId="57" xfId="0" applyFont="1" applyBorder="1" applyAlignment="1" applyProtection="1">
      <alignment horizontal="left" vertical="center"/>
      <protection locked="0" hidden="1"/>
    </xf>
    <xf numFmtId="0" fontId="17" fillId="0" borderId="58" xfId="0" applyFont="1" applyBorder="1" applyAlignment="1" applyProtection="1">
      <alignment horizontal="left" vertical="center"/>
      <protection locked="0" hidden="1"/>
    </xf>
    <xf numFmtId="0" fontId="17" fillId="0" borderId="59" xfId="0" applyFont="1" applyBorder="1" applyAlignment="1" applyProtection="1">
      <alignment horizontal="left" vertical="center"/>
      <protection locked="0" hidden="1"/>
    </xf>
    <xf numFmtId="0" fontId="0" fillId="0" borderId="57" xfId="0" applyBorder="1" applyAlignment="1">
      <alignment horizontal="center"/>
    </xf>
    <xf numFmtId="0" fontId="0" fillId="0" borderId="59" xfId="0" applyBorder="1" applyAlignment="1">
      <alignment horizontal="center"/>
    </xf>
    <xf numFmtId="44" fontId="14" fillId="0" borderId="64" xfId="0" applyNumberFormat="1" applyFont="1" applyBorder="1" applyAlignment="1">
      <alignment horizontal="center"/>
    </xf>
    <xf numFmtId="0" fontId="14" fillId="0" borderId="65" xfId="0" applyFont="1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16" fillId="0" borderId="40" xfId="0" applyFont="1" applyBorder="1" applyAlignment="1">
      <alignment horizontal="left" vertical="center"/>
    </xf>
    <xf numFmtId="166" fontId="14" fillId="0" borderId="51" xfId="2" applyNumberFormat="1" applyFont="1" applyBorder="1" applyAlignment="1">
      <alignment horizontal="left" vertical="center"/>
    </xf>
    <xf numFmtId="166" fontId="14" fillId="0" borderId="52" xfId="2" applyNumberFormat="1" applyFont="1" applyBorder="1" applyAlignment="1">
      <alignment horizontal="left" vertical="center"/>
    </xf>
    <xf numFmtId="166" fontId="14" fillId="0" borderId="55" xfId="2" applyNumberFormat="1" applyFont="1" applyBorder="1" applyAlignment="1">
      <alignment horizontal="left" vertical="center"/>
    </xf>
    <xf numFmtId="164" fontId="14" fillId="0" borderId="29" xfId="2" applyNumberFormat="1" applyFont="1" applyBorder="1" applyAlignment="1">
      <alignment horizontal="left" vertical="center"/>
    </xf>
    <xf numFmtId="164" fontId="14" fillId="0" borderId="32" xfId="2" applyNumberFormat="1" applyFont="1" applyBorder="1" applyAlignment="1">
      <alignment horizontal="left" vertical="center"/>
    </xf>
    <xf numFmtId="164" fontId="14" fillId="0" borderId="56" xfId="2" applyNumberFormat="1" applyFont="1" applyBorder="1" applyAlignment="1">
      <alignment horizontal="left" vertical="center"/>
    </xf>
    <xf numFmtId="4" fontId="14" fillId="0" borderId="29" xfId="2" applyNumberFormat="1" applyFont="1" applyBorder="1" applyAlignment="1">
      <alignment horizontal="left" vertical="center"/>
    </xf>
    <xf numFmtId="4" fontId="14" fillId="0" borderId="32" xfId="2" applyNumberFormat="1" applyFont="1" applyBorder="1" applyAlignment="1">
      <alignment horizontal="left" vertical="center"/>
    </xf>
    <xf numFmtId="4" fontId="14" fillId="0" borderId="56" xfId="2" applyNumberFormat="1" applyFont="1" applyBorder="1" applyAlignment="1">
      <alignment horizontal="left" vertical="center"/>
    </xf>
    <xf numFmtId="0" fontId="14" fillId="0" borderId="45" xfId="0" applyFont="1" applyBorder="1" applyAlignment="1">
      <alignment horizontal="left" vertical="center"/>
    </xf>
    <xf numFmtId="0" fontId="14" fillId="0" borderId="46" xfId="0" applyFont="1" applyBorder="1" applyAlignment="1">
      <alignment horizontal="left" vertical="center"/>
    </xf>
    <xf numFmtId="0" fontId="24" fillId="5" borderId="42" xfId="0" applyFont="1" applyFill="1" applyBorder="1" applyAlignment="1">
      <alignment horizontal="left" vertical="center"/>
    </xf>
    <xf numFmtId="0" fontId="24" fillId="5" borderId="43" xfId="0" applyFont="1" applyFill="1" applyBorder="1" applyAlignment="1">
      <alignment horizontal="left" vertical="center"/>
    </xf>
    <xf numFmtId="0" fontId="24" fillId="5" borderId="44" xfId="0" applyFont="1" applyFill="1" applyBorder="1" applyAlignment="1">
      <alignment horizontal="left" vertical="center"/>
    </xf>
    <xf numFmtId="4" fontId="14" fillId="0" borderId="57" xfId="2" applyNumberFormat="1" applyFont="1" applyBorder="1" applyAlignment="1">
      <alignment horizontal="left" vertical="center"/>
    </xf>
    <xf numFmtId="4" fontId="14" fillId="0" borderId="58" xfId="2" applyNumberFormat="1" applyFont="1" applyBorder="1" applyAlignment="1">
      <alignment horizontal="left" vertical="center"/>
    </xf>
    <xf numFmtId="4" fontId="14" fillId="0" borderId="61" xfId="2" applyNumberFormat="1" applyFont="1" applyBorder="1" applyAlignment="1">
      <alignment horizontal="left" vertical="center"/>
    </xf>
    <xf numFmtId="0" fontId="17" fillId="0" borderId="51" xfId="0" applyFont="1" applyBorder="1" applyAlignment="1" applyProtection="1">
      <alignment horizontal="left" vertical="center"/>
      <protection locked="0" hidden="1"/>
    </xf>
    <xf numFmtId="0" fontId="17" fillId="0" borderId="52" xfId="0" applyFont="1" applyBorder="1" applyAlignment="1" applyProtection="1">
      <alignment horizontal="left" vertical="center"/>
      <protection locked="0" hidden="1"/>
    </xf>
    <xf numFmtId="0" fontId="17" fillId="0" borderId="53" xfId="0" applyFont="1" applyBorder="1" applyAlignment="1" applyProtection="1">
      <alignment horizontal="left" vertical="center"/>
      <protection locked="0" hidden="1"/>
    </xf>
    <xf numFmtId="0" fontId="14" fillId="0" borderId="29" xfId="0" applyFont="1" applyBorder="1" applyAlignment="1">
      <alignment horizontal="right" vertical="center"/>
    </xf>
    <xf numFmtId="0" fontId="14" fillId="0" borderId="33" xfId="0" applyFont="1" applyBorder="1" applyAlignment="1">
      <alignment horizontal="right" vertical="center"/>
    </xf>
    <xf numFmtId="0" fontId="0" fillId="0" borderId="29" xfId="0" applyBorder="1" applyAlignment="1">
      <alignment horizontal="left" vertical="center"/>
    </xf>
    <xf numFmtId="0" fontId="0" fillId="0" borderId="0" xfId="0" applyAlignment="1">
      <alignment horizontal="justify" vertical="top" wrapText="1"/>
    </xf>
    <xf numFmtId="0" fontId="14" fillId="0" borderId="51" xfId="0" applyFont="1" applyBorder="1" applyAlignment="1">
      <alignment horizontal="left" vertical="center"/>
    </xf>
    <xf numFmtId="0" fontId="14" fillId="0" borderId="52" xfId="0" applyFont="1" applyBorder="1" applyAlignment="1">
      <alignment horizontal="left" vertical="center"/>
    </xf>
    <xf numFmtId="0" fontId="14" fillId="0" borderId="55" xfId="0" applyFont="1" applyBorder="1" applyAlignment="1">
      <alignment horizontal="left" vertical="center"/>
    </xf>
    <xf numFmtId="0" fontId="14" fillId="0" borderId="29" xfId="0" applyFont="1" applyBorder="1" applyAlignment="1">
      <alignment horizontal="left" vertical="center"/>
    </xf>
    <xf numFmtId="0" fontId="14" fillId="0" borderId="32" xfId="0" applyFont="1" applyBorder="1" applyAlignment="1">
      <alignment horizontal="left" vertical="center"/>
    </xf>
    <xf numFmtId="0" fontId="14" fillId="0" borderId="56" xfId="0" applyFont="1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70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33" xfId="0" applyBorder="1" applyAlignment="1">
      <alignment horizontal="left"/>
    </xf>
    <xf numFmtId="0" fontId="14" fillId="4" borderId="37" xfId="0" applyFont="1" applyFill="1" applyBorder="1" applyAlignment="1">
      <alignment horizontal="left" vertical="center"/>
    </xf>
    <xf numFmtId="0" fontId="14" fillId="4" borderId="38" xfId="0" applyFont="1" applyFill="1" applyBorder="1" applyAlignment="1">
      <alignment horizontal="left" vertical="center"/>
    </xf>
    <xf numFmtId="0" fontId="14" fillId="4" borderId="39" xfId="0" applyFont="1" applyFill="1" applyBorder="1" applyAlignment="1">
      <alignment horizontal="left" vertical="center"/>
    </xf>
    <xf numFmtId="0" fontId="14" fillId="4" borderId="42" xfId="0" applyFont="1" applyFill="1" applyBorder="1" applyAlignment="1">
      <alignment horizontal="left" vertical="center"/>
    </xf>
    <xf numFmtId="0" fontId="14" fillId="4" borderId="44" xfId="0" applyFont="1" applyFill="1" applyBorder="1" applyAlignment="1">
      <alignment horizontal="left" vertical="center"/>
    </xf>
    <xf numFmtId="44" fontId="0" fillId="0" borderId="94" xfId="2" applyFont="1" applyBorder="1" applyAlignment="1">
      <alignment horizontal="center"/>
    </xf>
    <xf numFmtId="44" fontId="0" fillId="0" borderId="95" xfId="2" applyFont="1" applyBorder="1" applyAlignment="1">
      <alignment horizontal="center"/>
    </xf>
    <xf numFmtId="44" fontId="14" fillId="0" borderId="64" xfId="2" applyFont="1" applyBorder="1" applyAlignment="1">
      <alignment horizontal="center"/>
    </xf>
    <xf numFmtId="44" fontId="14" fillId="0" borderId="65" xfId="2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87" xfId="0" applyBorder="1" applyAlignment="1">
      <alignment horizontal="center"/>
    </xf>
    <xf numFmtId="0" fontId="22" fillId="0" borderId="4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7" fillId="0" borderId="76" xfId="0" applyFont="1" applyBorder="1" applyAlignment="1" applyProtection="1">
      <alignment horizontal="center" vertical="center"/>
      <protection hidden="1"/>
    </xf>
    <xf numFmtId="0" fontId="7" fillId="0" borderId="32" xfId="0" applyFont="1" applyBorder="1" applyAlignment="1" applyProtection="1">
      <alignment horizontal="center" vertical="center"/>
      <protection hidden="1"/>
    </xf>
    <xf numFmtId="0" fontId="7" fillId="0" borderId="88" xfId="0" applyFont="1" applyBorder="1" applyAlignment="1" applyProtection="1">
      <alignment horizontal="center" vertical="center"/>
      <protection hidden="1"/>
    </xf>
    <xf numFmtId="0" fontId="7" fillId="0" borderId="77" xfId="0" applyFont="1" applyBorder="1" applyAlignment="1" applyProtection="1">
      <alignment horizontal="center" vertical="center"/>
      <protection hidden="1"/>
    </xf>
    <xf numFmtId="0" fontId="14" fillId="0" borderId="89" xfId="0" applyFont="1" applyBorder="1" applyAlignment="1">
      <alignment horizontal="left" vertical="top"/>
    </xf>
    <xf numFmtId="0" fontId="14" fillId="0" borderId="88" xfId="0" applyFont="1" applyBorder="1" applyAlignment="1">
      <alignment horizontal="left" vertical="top"/>
    </xf>
    <xf numFmtId="0" fontId="14" fillId="0" borderId="90" xfId="0" applyFont="1" applyBorder="1" applyAlignment="1">
      <alignment horizontal="left" vertical="top"/>
    </xf>
    <xf numFmtId="0" fontId="14" fillId="0" borderId="76" xfId="0" applyFont="1" applyBorder="1" applyAlignment="1">
      <alignment horizontal="left" vertical="top"/>
    </xf>
    <xf numFmtId="0" fontId="14" fillId="0" borderId="32" xfId="0" applyFont="1" applyBorder="1" applyAlignment="1">
      <alignment horizontal="left" vertical="top"/>
    </xf>
    <xf numFmtId="0" fontId="14" fillId="0" borderId="77" xfId="0" applyFont="1" applyBorder="1" applyAlignment="1">
      <alignment horizontal="left" vertical="top"/>
    </xf>
    <xf numFmtId="14" fontId="8" fillId="6" borderId="80" xfId="0" applyNumberFormat="1" applyFont="1" applyFill="1" applyBorder="1" applyAlignment="1" applyProtection="1">
      <alignment horizontal="left" vertical="center"/>
      <protection locked="0" hidden="1"/>
    </xf>
    <xf numFmtId="14" fontId="8" fillId="6" borderId="82" xfId="0" applyNumberFormat="1" applyFont="1" applyFill="1" applyBorder="1" applyAlignment="1" applyProtection="1">
      <alignment horizontal="left" vertical="center"/>
      <protection locked="0" hidden="1"/>
    </xf>
    <xf numFmtId="14" fontId="8" fillId="6" borderId="74" xfId="0" applyNumberFormat="1" applyFont="1" applyFill="1" applyBorder="1" applyAlignment="1" applyProtection="1">
      <alignment horizontal="left" vertical="center"/>
      <protection locked="0" hidden="1"/>
    </xf>
    <xf numFmtId="0" fontId="9" fillId="2" borderId="16" xfId="0" applyFont="1" applyFill="1" applyBorder="1" applyAlignment="1" applyProtection="1">
      <alignment horizontal="center" vertical="center" textRotation="90"/>
      <protection hidden="1"/>
    </xf>
    <xf numFmtId="0" fontId="9" fillId="2" borderId="17" xfId="0" applyFont="1" applyFill="1" applyBorder="1" applyAlignment="1" applyProtection="1">
      <alignment horizontal="center" vertical="center" textRotation="90"/>
      <protection hidden="1"/>
    </xf>
    <xf numFmtId="0" fontId="9" fillId="2" borderId="9" xfId="0" applyFont="1" applyFill="1" applyBorder="1" applyAlignment="1" applyProtection="1">
      <alignment horizontal="center" vertical="center" textRotation="90"/>
      <protection hidden="1"/>
    </xf>
    <xf numFmtId="0" fontId="10" fillId="0" borderId="17" xfId="0" applyFont="1" applyBorder="1"/>
    <xf numFmtId="0" fontId="10" fillId="0" borderId="7" xfId="0" applyFont="1" applyBorder="1"/>
    <xf numFmtId="0" fontId="9" fillId="2" borderId="1" xfId="0" applyFont="1" applyFill="1" applyBorder="1" applyAlignment="1" applyProtection="1">
      <alignment horizontal="center" vertical="center" textRotation="90"/>
      <protection hidden="1"/>
    </xf>
    <xf numFmtId="0" fontId="9" fillId="2" borderId="2" xfId="0" applyFont="1" applyFill="1" applyBorder="1" applyAlignment="1" applyProtection="1">
      <alignment horizontal="center" vertical="center" textRotation="90"/>
      <protection hidden="1"/>
    </xf>
    <xf numFmtId="0" fontId="9" fillId="2" borderId="3" xfId="0" applyFont="1" applyFill="1" applyBorder="1" applyAlignment="1" applyProtection="1">
      <alignment horizontal="center" vertical="center" textRotation="90"/>
      <protection hidden="1"/>
    </xf>
    <xf numFmtId="0" fontId="9" fillId="2" borderId="4" xfId="0" applyFont="1" applyFill="1" applyBorder="1" applyAlignment="1" applyProtection="1">
      <alignment horizontal="center" vertical="center" textRotation="90"/>
      <protection hidden="1"/>
    </xf>
    <xf numFmtId="0" fontId="9" fillId="2" borderId="0" xfId="0" applyFont="1" applyFill="1" applyAlignment="1" applyProtection="1">
      <alignment horizontal="center" vertical="center" textRotation="90"/>
      <protection hidden="1"/>
    </xf>
    <xf numFmtId="0" fontId="9" fillId="2" borderId="5" xfId="0" applyFont="1" applyFill="1" applyBorder="1" applyAlignment="1" applyProtection="1">
      <alignment horizontal="center" vertical="center" textRotation="90"/>
      <protection hidden="1"/>
    </xf>
    <xf numFmtId="0" fontId="9" fillId="2" borderId="7" xfId="0" applyFont="1" applyFill="1" applyBorder="1" applyAlignment="1" applyProtection="1">
      <alignment horizontal="center" vertical="center" textRotation="90"/>
      <protection hidden="1"/>
    </xf>
    <xf numFmtId="0" fontId="9" fillId="2" borderId="10" xfId="0" applyFont="1" applyFill="1" applyBorder="1" applyAlignment="1" applyProtection="1">
      <alignment horizontal="center" vertical="center" textRotation="90"/>
      <protection hidden="1"/>
    </xf>
    <xf numFmtId="0" fontId="9" fillId="2" borderId="8" xfId="0" applyFont="1" applyFill="1" applyBorder="1" applyAlignment="1" applyProtection="1">
      <alignment horizontal="center" vertical="center" textRotation="90"/>
      <protection hidden="1"/>
    </xf>
    <xf numFmtId="0" fontId="14" fillId="0" borderId="83" xfId="0" applyFont="1" applyBorder="1" applyAlignment="1">
      <alignment horizontal="left" vertical="top"/>
    </xf>
    <xf numFmtId="0" fontId="14" fillId="0" borderId="84" xfId="0" applyFont="1" applyBorder="1" applyAlignment="1">
      <alignment horizontal="left" vertical="top"/>
    </xf>
    <xf numFmtId="0" fontId="14" fillId="0" borderId="75" xfId="0" applyFont="1" applyBorder="1" applyAlignment="1">
      <alignment horizontal="left" vertical="top"/>
    </xf>
    <xf numFmtId="0" fontId="22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10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8" fillId="0" borderId="0" xfId="0" applyFont="1" applyAlignment="1" applyProtection="1">
      <alignment horizontal="left" vertical="center"/>
      <protection locked="0" hidden="1"/>
    </xf>
    <xf numFmtId="0" fontId="36" fillId="0" borderId="96" xfId="0" applyFont="1" applyBorder="1" applyAlignment="1" applyProtection="1">
      <alignment horizontal="left" vertical="center"/>
      <protection locked="0" hidden="1"/>
    </xf>
    <xf numFmtId="1" fontId="33" fillId="0" borderId="96" xfId="0" applyNumberFormat="1" applyFont="1" applyBorder="1" applyAlignment="1" applyProtection="1">
      <alignment horizontal="left" vertical="center"/>
      <protection locked="0" hidden="1"/>
    </xf>
    <xf numFmtId="1" fontId="33" fillId="0" borderId="98" xfId="0" applyNumberFormat="1" applyFont="1" applyBorder="1" applyAlignment="1" applyProtection="1">
      <alignment horizontal="left" vertical="center"/>
      <protection locked="0" hidden="1"/>
    </xf>
    <xf numFmtId="0" fontId="36" fillId="0" borderId="99" xfId="0" applyFont="1" applyBorder="1" applyAlignment="1" applyProtection="1">
      <alignment horizontal="left" vertical="center"/>
      <protection locked="0" hidden="1"/>
    </xf>
    <xf numFmtId="1" fontId="33" fillId="0" borderId="99" xfId="0" applyNumberFormat="1" applyFont="1" applyBorder="1" applyAlignment="1" applyProtection="1">
      <alignment horizontal="left" vertical="center"/>
      <protection locked="0" hidden="1"/>
    </xf>
    <xf numFmtId="1" fontId="33" fillId="0" borderId="100" xfId="0" applyNumberFormat="1" applyFont="1" applyBorder="1" applyAlignment="1" applyProtection="1">
      <alignment horizontal="left" vertical="center"/>
      <protection locked="0" hidden="1"/>
    </xf>
    <xf numFmtId="14" fontId="33" fillId="4" borderId="16" xfId="0" applyNumberFormat="1" applyFont="1" applyFill="1" applyBorder="1" applyAlignment="1" applyProtection="1">
      <alignment horizontal="center" vertical="center"/>
      <protection locked="0" hidden="1"/>
    </xf>
    <xf numFmtId="14" fontId="33" fillId="4" borderId="17" xfId="0" applyNumberFormat="1" applyFont="1" applyFill="1" applyBorder="1" applyAlignment="1" applyProtection="1">
      <alignment horizontal="center" vertical="center"/>
      <protection locked="0" hidden="1"/>
    </xf>
    <xf numFmtId="14" fontId="33" fillId="4" borderId="9" xfId="0" applyNumberFormat="1" applyFont="1" applyFill="1" applyBorder="1" applyAlignment="1" applyProtection="1">
      <alignment horizontal="center" vertical="center"/>
      <protection locked="0" hidden="1"/>
    </xf>
    <xf numFmtId="0" fontId="33" fillId="0" borderId="109" xfId="0" applyFont="1" applyBorder="1" applyAlignment="1" applyProtection="1">
      <alignment horizontal="left" vertical="center"/>
      <protection locked="0" hidden="1"/>
    </xf>
    <xf numFmtId="0" fontId="33" fillId="0" borderId="43" xfId="0" applyFont="1" applyBorder="1" applyAlignment="1" applyProtection="1">
      <alignment horizontal="left" vertical="center"/>
      <protection locked="0" hidden="1"/>
    </xf>
    <xf numFmtId="0" fontId="33" fillId="0" borderId="110" xfId="0" applyFont="1" applyBorder="1" applyAlignment="1" applyProtection="1">
      <alignment horizontal="left" vertical="center"/>
      <protection locked="0" hidden="1"/>
    </xf>
    <xf numFmtId="14" fontId="33" fillId="4" borderId="106" xfId="0" applyNumberFormat="1" applyFont="1" applyFill="1" applyBorder="1" applyAlignment="1" applyProtection="1">
      <alignment horizontal="center" vertical="center"/>
      <protection locked="0" hidden="1"/>
    </xf>
    <xf numFmtId="14" fontId="33" fillId="4" borderId="107" xfId="0" applyNumberFormat="1" applyFont="1" applyFill="1" applyBorder="1" applyAlignment="1" applyProtection="1">
      <alignment horizontal="center" vertical="center"/>
      <protection locked="0" hidden="1"/>
    </xf>
    <xf numFmtId="14" fontId="33" fillId="4" borderId="108" xfId="0" applyNumberFormat="1" applyFont="1" applyFill="1" applyBorder="1" applyAlignment="1" applyProtection="1">
      <alignment horizontal="center" vertical="center"/>
      <protection locked="0" hidden="1"/>
    </xf>
    <xf numFmtId="0" fontId="33" fillId="4" borderId="102" xfId="0" applyFont="1" applyFill="1" applyBorder="1" applyAlignment="1" applyProtection="1">
      <alignment horizontal="left" vertical="center"/>
      <protection locked="0" hidden="1"/>
    </xf>
    <xf numFmtId="1" fontId="33" fillId="4" borderId="102" xfId="0" applyNumberFormat="1" applyFont="1" applyFill="1" applyBorder="1" applyAlignment="1" applyProtection="1">
      <alignment horizontal="left" vertical="center"/>
      <protection locked="0" hidden="1"/>
    </xf>
    <xf numFmtId="1" fontId="33" fillId="4" borderId="103" xfId="0" applyNumberFormat="1" applyFont="1" applyFill="1" applyBorder="1" applyAlignment="1" applyProtection="1">
      <alignment horizontal="left" vertical="center"/>
      <protection locked="0" hidden="1"/>
    </xf>
    <xf numFmtId="0" fontId="36" fillId="0" borderId="97" xfId="0" applyFont="1" applyBorder="1" applyAlignment="1" applyProtection="1">
      <alignment horizontal="left" vertical="center"/>
      <protection locked="0" hidden="1"/>
    </xf>
    <xf numFmtId="1" fontId="33" fillId="0" borderId="97" xfId="0" applyNumberFormat="1" applyFont="1" applyBorder="1" applyAlignment="1" applyProtection="1">
      <alignment horizontal="left" vertical="center"/>
      <protection locked="0" hidden="1"/>
    </xf>
    <xf numFmtId="1" fontId="33" fillId="0" borderId="101" xfId="0" applyNumberFormat="1" applyFont="1" applyBorder="1" applyAlignment="1" applyProtection="1">
      <alignment horizontal="left" vertical="center"/>
      <protection locked="0" hidden="1"/>
    </xf>
    <xf numFmtId="0" fontId="39" fillId="7" borderId="0" xfId="0" applyFont="1" applyFill="1" applyAlignment="1" applyProtection="1">
      <alignment horizontal="center" vertical="center"/>
      <protection locked="0" hidden="1"/>
    </xf>
    <xf numFmtId="1" fontId="17" fillId="0" borderId="0" xfId="0" applyNumberFormat="1" applyFont="1" applyAlignment="1" applyProtection="1">
      <alignment horizontal="center" vertical="center"/>
      <protection locked="0" hidden="1"/>
    </xf>
    <xf numFmtId="0" fontId="17" fillId="0" borderId="0" xfId="0" applyFont="1" applyAlignment="1" applyProtection="1">
      <alignment horizontal="left" vertical="center"/>
      <protection locked="0" hidden="1"/>
    </xf>
    <xf numFmtId="0" fontId="39" fillId="7" borderId="0" xfId="0" applyFont="1" applyFill="1" applyAlignment="1" applyProtection="1">
      <alignment horizontal="left" vertical="center"/>
      <protection locked="0" hidden="1"/>
    </xf>
    <xf numFmtId="0" fontId="17" fillId="0" borderId="0" xfId="0" applyFont="1" applyAlignment="1" applyProtection="1">
      <alignment horizontal="center" vertical="center"/>
      <protection locked="0" hidden="1"/>
    </xf>
    <xf numFmtId="0" fontId="30" fillId="0" borderId="83" xfId="0" applyFont="1" applyBorder="1" applyAlignment="1">
      <alignment horizontal="left" vertical="center"/>
    </xf>
    <xf numFmtId="0" fontId="30" fillId="0" borderId="84" xfId="0" applyFont="1" applyBorder="1" applyAlignment="1">
      <alignment horizontal="left" vertical="center"/>
    </xf>
    <xf numFmtId="0" fontId="30" fillId="0" borderId="75" xfId="0" applyFont="1" applyBorder="1" applyAlignment="1">
      <alignment horizontal="left" vertical="center"/>
    </xf>
    <xf numFmtId="0" fontId="40" fillId="3" borderId="111" xfId="0" applyFont="1" applyFill="1" applyBorder="1" applyAlignment="1">
      <alignment horizontal="left" vertical="center"/>
    </xf>
    <xf numFmtId="0" fontId="40" fillId="3" borderId="112" xfId="0" applyFont="1" applyFill="1" applyBorder="1" applyAlignment="1">
      <alignment horizontal="left" vertical="center"/>
    </xf>
    <xf numFmtId="0" fontId="40" fillId="3" borderId="113" xfId="0" applyFont="1" applyFill="1" applyBorder="1" applyAlignment="1">
      <alignment horizontal="left" vertical="center"/>
    </xf>
    <xf numFmtId="0" fontId="30" fillId="0" borderId="89" xfId="0" applyFont="1" applyBorder="1" applyAlignment="1">
      <alignment horizontal="left" vertical="center"/>
    </xf>
    <xf numFmtId="0" fontId="30" fillId="0" borderId="88" xfId="0" applyFont="1" applyBorder="1" applyAlignment="1">
      <alignment horizontal="left" vertical="center"/>
    </xf>
    <xf numFmtId="0" fontId="30" fillId="0" borderId="90" xfId="0" applyFont="1" applyBorder="1" applyAlignment="1">
      <alignment horizontal="left" vertical="center"/>
    </xf>
    <xf numFmtId="0" fontId="30" fillId="0" borderId="76" xfId="0" applyFont="1" applyBorder="1" applyAlignment="1">
      <alignment horizontal="left" vertical="center"/>
    </xf>
    <xf numFmtId="0" fontId="30" fillId="0" borderId="32" xfId="0" applyFont="1" applyBorder="1" applyAlignment="1">
      <alignment horizontal="left" vertical="center"/>
    </xf>
    <xf numFmtId="0" fontId="30" fillId="0" borderId="77" xfId="0" applyFont="1" applyBorder="1" applyAlignment="1">
      <alignment horizontal="left" vertical="center"/>
    </xf>
    <xf numFmtId="0" fontId="40" fillId="0" borderId="23" xfId="0" applyFont="1" applyBorder="1" applyAlignment="1">
      <alignment horizontal="left" vertical="center"/>
    </xf>
    <xf numFmtId="0" fontId="40" fillId="0" borderId="22" xfId="0" applyFont="1" applyBorder="1" applyAlignment="1">
      <alignment horizontal="left" vertical="center"/>
    </xf>
    <xf numFmtId="0" fontId="38" fillId="5" borderId="0" xfId="0" applyFont="1" applyFill="1" applyAlignment="1">
      <alignment horizontal="center" vertical="center"/>
    </xf>
    <xf numFmtId="0" fontId="31" fillId="0" borderId="0" xfId="0" applyFont="1" applyAlignment="1">
      <alignment horizontal="center"/>
    </xf>
    <xf numFmtId="1" fontId="17" fillId="0" borderId="0" xfId="0" applyNumberFormat="1" applyFont="1" applyAlignment="1" applyProtection="1">
      <alignment horizontal="left" vertical="center"/>
      <protection locked="0" hidden="1"/>
    </xf>
    <xf numFmtId="1" fontId="39" fillId="7" borderId="0" xfId="0" applyNumberFormat="1" applyFont="1" applyFill="1" applyAlignment="1" applyProtection="1">
      <alignment horizontal="left" vertical="center"/>
      <protection locked="0" hidden="1"/>
    </xf>
    <xf numFmtId="14" fontId="37" fillId="0" borderId="0" xfId="0" applyNumberFormat="1" applyFont="1" applyAlignment="1" applyProtection="1">
      <alignment horizontal="center" vertical="center"/>
      <protection locked="0" hidden="1"/>
    </xf>
    <xf numFmtId="164" fontId="39" fillId="7" borderId="0" xfId="0" applyNumberFormat="1" applyFont="1" applyFill="1" applyAlignment="1" applyProtection="1">
      <alignment horizontal="center" vertical="center"/>
      <protection locked="0" hidden="1"/>
    </xf>
    <xf numFmtId="0" fontId="27" fillId="0" borderId="0" xfId="0" applyFont="1" applyAlignment="1" applyProtection="1">
      <alignment horizontal="center"/>
      <protection hidden="1"/>
    </xf>
    <xf numFmtId="0" fontId="46" fillId="0" borderId="41" xfId="0" applyFont="1" applyBorder="1" applyAlignment="1" applyProtection="1">
      <alignment horizontal="center"/>
      <protection hidden="1"/>
    </xf>
    <xf numFmtId="0" fontId="48" fillId="0" borderId="41" xfId="0" applyFont="1" applyBorder="1" applyAlignment="1" applyProtection="1">
      <alignment horizontal="center"/>
      <protection hidden="1"/>
    </xf>
    <xf numFmtId="0" fontId="41" fillId="8" borderId="0" xfId="0" applyFont="1" applyFill="1" applyAlignment="1" applyProtection="1">
      <alignment horizontal="center"/>
      <protection hidden="1"/>
    </xf>
    <xf numFmtId="0" fontId="42" fillId="5" borderId="0" xfId="0" applyFont="1" applyFill="1" applyAlignment="1" applyProtection="1">
      <alignment horizontal="center"/>
      <protection hidden="1"/>
    </xf>
    <xf numFmtId="14" fontId="44" fillId="0" borderId="41" xfId="0" applyNumberFormat="1" applyFont="1" applyBorder="1" applyAlignment="1" applyProtection="1">
      <alignment horizontal="center"/>
      <protection hidden="1"/>
    </xf>
    <xf numFmtId="0" fontId="44" fillId="0" borderId="41" xfId="0" applyFont="1" applyBorder="1" applyAlignment="1" applyProtection="1">
      <alignment horizontal="center"/>
      <protection hidden="1"/>
    </xf>
    <xf numFmtId="0" fontId="41" fillId="0" borderId="0" xfId="0" applyFont="1" applyAlignment="1" applyProtection="1">
      <alignment horizontal="center"/>
      <protection hidden="1"/>
    </xf>
    <xf numFmtId="0" fontId="45" fillId="0" borderId="41" xfId="0" applyFont="1" applyBorder="1" applyAlignment="1" applyProtection="1">
      <alignment horizontal="center"/>
      <protection hidden="1"/>
    </xf>
    <xf numFmtId="42" fontId="46" fillId="0" borderId="41" xfId="0" applyNumberFormat="1" applyFont="1" applyBorder="1" applyAlignment="1" applyProtection="1">
      <alignment horizontal="center"/>
      <protection hidden="1"/>
    </xf>
    <xf numFmtId="2" fontId="46" fillId="0" borderId="41" xfId="0" applyNumberFormat="1" applyFont="1" applyBorder="1" applyAlignment="1" applyProtection="1">
      <alignment horizontal="center"/>
      <protection hidden="1"/>
    </xf>
    <xf numFmtId="44" fontId="46" fillId="0" borderId="41" xfId="2" applyFont="1" applyBorder="1" applyAlignment="1" applyProtection="1">
      <alignment horizontal="center"/>
      <protection hidden="1"/>
    </xf>
    <xf numFmtId="14" fontId="41" fillId="0" borderId="0" xfId="0" applyNumberFormat="1" applyFont="1" applyAlignment="1" applyProtection="1">
      <alignment horizontal="right" vertical="center"/>
      <protection hidden="1"/>
    </xf>
    <xf numFmtId="0" fontId="41" fillId="8" borderId="0" xfId="0" applyFont="1" applyFill="1" applyAlignment="1" applyProtection="1">
      <alignment horizontal="center" vertical="center"/>
      <protection hidden="1"/>
    </xf>
    <xf numFmtId="1" fontId="46" fillId="0" borderId="41" xfId="0" applyNumberFormat="1" applyFont="1" applyBorder="1" applyAlignment="1" applyProtection="1">
      <alignment horizontal="left" vertical="center"/>
      <protection hidden="1"/>
    </xf>
    <xf numFmtId="0" fontId="46" fillId="0" borderId="41" xfId="0" applyFont="1" applyBorder="1" applyAlignment="1" applyProtection="1">
      <alignment horizontal="left" vertical="center"/>
      <protection hidden="1"/>
    </xf>
    <xf numFmtId="0" fontId="46" fillId="0" borderId="41" xfId="0" applyFont="1" applyBorder="1" applyAlignment="1" applyProtection="1">
      <alignment horizontal="center" vertical="center"/>
      <protection hidden="1"/>
    </xf>
    <xf numFmtId="0" fontId="41" fillId="8" borderId="0" xfId="0" applyFont="1" applyFill="1" applyAlignment="1" applyProtection="1">
      <alignment horizontal="left" vertical="center"/>
      <protection hidden="1"/>
    </xf>
    <xf numFmtId="0" fontId="42" fillId="5" borderId="0" xfId="0" applyFont="1" applyFill="1" applyAlignment="1" applyProtection="1">
      <alignment horizontal="center" vertical="center"/>
      <protection hidden="1"/>
    </xf>
    <xf numFmtId="14" fontId="44" fillId="0" borderId="41" xfId="0" applyNumberFormat="1" applyFont="1" applyBorder="1" applyAlignment="1" applyProtection="1">
      <alignment horizontal="center" vertical="center"/>
      <protection hidden="1"/>
    </xf>
    <xf numFmtId="0" fontId="44" fillId="0" borderId="41" xfId="0" applyFont="1" applyBorder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vertical="center"/>
      <protection hidden="1"/>
    </xf>
    <xf numFmtId="0" fontId="45" fillId="0" borderId="41" xfId="0" applyFont="1" applyBorder="1" applyAlignment="1" applyProtection="1">
      <alignment horizontal="center" vertical="center"/>
      <protection hidden="1"/>
    </xf>
    <xf numFmtId="0" fontId="41" fillId="0" borderId="96" xfId="0" applyFont="1" applyBorder="1" applyAlignment="1" applyProtection="1">
      <alignment horizontal="left" vertical="center"/>
      <protection hidden="1"/>
    </xf>
    <xf numFmtId="44" fontId="41" fillId="0" borderId="96" xfId="2" applyFont="1" applyBorder="1" applyAlignment="1" applyProtection="1">
      <alignment horizontal="left" vertical="center"/>
      <protection hidden="1"/>
    </xf>
    <xf numFmtId="1" fontId="2" fillId="0" borderId="29" xfId="3" applyNumberFormat="1" applyBorder="1" applyAlignment="1" applyProtection="1">
      <alignment horizontal="left" vertical="center"/>
      <protection locked="0" hidden="1"/>
    </xf>
    <xf numFmtId="0" fontId="23" fillId="5" borderId="42" xfId="0" applyFont="1" applyFill="1" applyBorder="1" applyAlignment="1">
      <alignment horizontal="left" vertical="center"/>
    </xf>
    <xf numFmtId="0" fontId="23" fillId="5" borderId="43" xfId="0" applyFont="1" applyFill="1" applyBorder="1" applyAlignment="1">
      <alignment horizontal="left" vertical="center"/>
    </xf>
    <xf numFmtId="0" fontId="23" fillId="5" borderId="44" xfId="0" applyFont="1" applyFill="1" applyBorder="1" applyAlignment="1">
      <alignment horizontal="left" vertical="center"/>
    </xf>
    <xf numFmtId="1" fontId="17" fillId="0" borderId="51" xfId="0" applyNumberFormat="1" applyFont="1" applyBorder="1" applyAlignment="1" applyProtection="1">
      <alignment horizontal="left" vertical="center"/>
      <protection locked="0" hidden="1"/>
    </xf>
    <xf numFmtId="1" fontId="17" fillId="0" borderId="52" xfId="0" applyNumberFormat="1" applyFont="1" applyBorder="1" applyAlignment="1" applyProtection="1">
      <alignment horizontal="left" vertical="center"/>
      <protection locked="0" hidden="1"/>
    </xf>
    <xf numFmtId="1" fontId="17" fillId="0" borderId="55" xfId="0" applyNumberFormat="1" applyFont="1" applyBorder="1" applyAlignment="1" applyProtection="1">
      <alignment horizontal="left" vertical="center"/>
      <protection locked="0" hidden="1"/>
    </xf>
    <xf numFmtId="1" fontId="17" fillId="0" borderId="57" xfId="0" applyNumberFormat="1" applyFont="1" applyBorder="1" applyAlignment="1" applyProtection="1">
      <alignment horizontal="center" vertical="center"/>
      <protection locked="0" hidden="1"/>
    </xf>
    <xf numFmtId="1" fontId="17" fillId="0" borderId="58" xfId="0" applyNumberFormat="1" applyFont="1" applyBorder="1" applyAlignment="1" applyProtection="1">
      <alignment horizontal="center" vertical="center"/>
      <protection locked="0" hidden="1"/>
    </xf>
    <xf numFmtId="1" fontId="17" fillId="0" borderId="61" xfId="0" applyNumberFormat="1" applyFont="1" applyBorder="1" applyAlignment="1" applyProtection="1">
      <alignment horizontal="center" vertical="center"/>
      <protection locked="0" hidden="1"/>
    </xf>
    <xf numFmtId="0" fontId="0" fillId="0" borderId="71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5" xfId="0" applyBorder="1" applyAlignment="1">
      <alignment horizontal="center"/>
    </xf>
    <xf numFmtId="14" fontId="17" fillId="0" borderId="57" xfId="0" applyNumberFormat="1" applyFont="1" applyBorder="1" applyAlignment="1" applyProtection="1">
      <alignment horizontal="left" vertical="center"/>
      <protection locked="0" hidden="1"/>
    </xf>
    <xf numFmtId="14" fontId="17" fillId="0" borderId="58" xfId="0" applyNumberFormat="1" applyFont="1" applyBorder="1" applyAlignment="1" applyProtection="1">
      <alignment horizontal="left" vertical="center"/>
      <protection locked="0" hidden="1"/>
    </xf>
    <xf numFmtId="14" fontId="17" fillId="0" borderId="59" xfId="0" applyNumberFormat="1" applyFont="1" applyBorder="1" applyAlignment="1" applyProtection="1">
      <alignment horizontal="left" vertical="center"/>
      <protection locked="0" hidden="1"/>
    </xf>
    <xf numFmtId="14" fontId="17" fillId="0" borderId="51" xfId="0" applyNumberFormat="1" applyFont="1" applyBorder="1" applyAlignment="1" applyProtection="1">
      <alignment horizontal="left" vertical="center"/>
      <protection locked="0" hidden="1"/>
    </xf>
    <xf numFmtId="14" fontId="17" fillId="0" borderId="52" xfId="0" applyNumberFormat="1" applyFont="1" applyBorder="1" applyAlignment="1" applyProtection="1">
      <alignment horizontal="left" vertical="center"/>
      <protection locked="0" hidden="1"/>
    </xf>
    <xf numFmtId="14" fontId="17" fillId="0" borderId="53" xfId="0" applyNumberFormat="1" applyFont="1" applyBorder="1" applyAlignment="1" applyProtection="1">
      <alignment horizontal="left" vertical="center"/>
      <protection locked="0" hidden="1"/>
    </xf>
    <xf numFmtId="4" fontId="14" fillId="0" borderId="51" xfId="2" applyNumberFormat="1" applyFont="1" applyBorder="1" applyAlignment="1">
      <alignment horizontal="left" vertical="center"/>
    </xf>
    <xf numFmtId="4" fontId="14" fillId="0" borderId="52" xfId="2" applyNumberFormat="1" applyFont="1" applyBorder="1" applyAlignment="1">
      <alignment horizontal="left" vertical="center"/>
    </xf>
    <xf numFmtId="4" fontId="14" fillId="0" borderId="55" xfId="2" applyNumberFormat="1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164" fontId="12" fillId="0" borderId="66" xfId="0" applyNumberFormat="1" applyFont="1" applyBorder="1" applyAlignment="1">
      <alignment horizontal="left" vertical="center"/>
    </xf>
    <xf numFmtId="0" fontId="12" fillId="0" borderId="66" xfId="0" applyFont="1" applyBorder="1" applyAlignment="1">
      <alignment horizontal="left" vertical="center"/>
    </xf>
    <xf numFmtId="9" fontId="12" fillId="0" borderId="66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13" fillId="0" borderId="0" xfId="0" applyFont="1" applyAlignment="1">
      <alignment horizontal="justify" vertical="top" wrapText="1"/>
    </xf>
    <xf numFmtId="0" fontId="5" fillId="0" borderId="0" xfId="0" applyFont="1" applyAlignment="1">
      <alignment horizontal="center" wrapText="1"/>
    </xf>
    <xf numFmtId="0" fontId="5" fillId="0" borderId="66" xfId="0" applyFont="1" applyBorder="1" applyAlignment="1">
      <alignment horizontal="center" wrapText="1"/>
    </xf>
    <xf numFmtId="0" fontId="19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14" fontId="12" fillId="0" borderId="66" xfId="0" applyNumberFormat="1" applyFont="1" applyBorder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2" fillId="0" borderId="66" xfId="0" applyFont="1" applyBorder="1" applyAlignment="1">
      <alignment horizontal="center" vertical="center"/>
    </xf>
    <xf numFmtId="4" fontId="12" fillId="0" borderId="66" xfId="0" applyNumberFormat="1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3" fillId="0" borderId="67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66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9" fillId="0" borderId="66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top" wrapText="1"/>
    </xf>
    <xf numFmtId="0" fontId="4" fillId="0" borderId="67" xfId="0" applyFont="1" applyBorder="1" applyAlignment="1">
      <alignment horizontal="center" vertical="center"/>
    </xf>
    <xf numFmtId="1" fontId="0" fillId="0" borderId="86" xfId="0" applyNumberFormat="1" applyBorder="1" applyAlignment="1">
      <alignment horizontal="left" vertical="center"/>
    </xf>
    <xf numFmtId="1" fontId="0" fillId="0" borderId="41" xfId="0" applyNumberFormat="1" applyBorder="1" applyAlignment="1">
      <alignment horizontal="left" vertical="center"/>
    </xf>
    <xf numFmtId="1" fontId="0" fillId="0" borderId="87" xfId="0" applyNumberFormat="1" applyBorder="1" applyAlignment="1">
      <alignment horizontal="left" vertical="center"/>
    </xf>
    <xf numFmtId="44" fontId="0" fillId="0" borderId="34" xfId="2" applyFont="1" applyBorder="1" applyAlignment="1">
      <alignment horizontal="center"/>
    </xf>
    <xf numFmtId="44" fontId="0" fillId="0" borderId="35" xfId="2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8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14" fillId="4" borderId="43" xfId="0" applyFont="1" applyFill="1" applyBorder="1" applyAlignment="1">
      <alignment horizontal="left" vertical="center"/>
    </xf>
    <xf numFmtId="0" fontId="14" fillId="4" borderId="29" xfId="0" applyFont="1" applyFill="1" applyBorder="1" applyAlignment="1">
      <alignment horizontal="center" vertical="center"/>
    </xf>
    <xf numFmtId="0" fontId="14" fillId="4" borderId="33" xfId="0" applyFont="1" applyFill="1" applyBorder="1" applyAlignment="1">
      <alignment horizontal="center" vertical="center"/>
    </xf>
    <xf numFmtId="0" fontId="0" fillId="0" borderId="70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1" fontId="17" fillId="0" borderId="33" xfId="0" applyNumberFormat="1" applyFont="1" applyBorder="1" applyAlignment="1" applyProtection="1">
      <alignment horizontal="left" vertical="center"/>
      <protection locked="0" hidden="1"/>
    </xf>
    <xf numFmtId="14" fontId="14" fillId="0" borderId="29" xfId="0" applyNumberFormat="1" applyFont="1" applyBorder="1" applyAlignment="1">
      <alignment horizontal="right" vertical="center"/>
    </xf>
    <xf numFmtId="14" fontId="14" fillId="0" borderId="33" xfId="0" applyNumberFormat="1" applyFont="1" applyBorder="1" applyAlignment="1">
      <alignment horizontal="right" vertical="center"/>
    </xf>
    <xf numFmtId="0" fontId="0" fillId="0" borderId="29" xfId="0" applyBorder="1" applyAlignment="1">
      <alignment horizontal="left"/>
    </xf>
    <xf numFmtId="14" fontId="17" fillId="0" borderId="31" xfId="0" applyNumberFormat="1" applyFont="1" applyBorder="1" applyAlignment="1" applyProtection="1">
      <alignment horizontal="left" vertical="center"/>
      <protection locked="0" hidden="1"/>
    </xf>
    <xf numFmtId="14" fontId="17" fillId="0" borderId="48" xfId="0" applyNumberFormat="1" applyFont="1" applyBorder="1" applyAlignment="1" applyProtection="1">
      <alignment horizontal="left" vertical="center"/>
      <protection locked="0" hidden="1"/>
    </xf>
    <xf numFmtId="0" fontId="17" fillId="0" borderId="31" xfId="0" applyFont="1" applyBorder="1" applyAlignment="1" applyProtection="1">
      <alignment horizontal="left" vertical="center"/>
      <protection locked="0" hidden="1"/>
    </xf>
    <xf numFmtId="0" fontId="17" fillId="0" borderId="60" xfId="0" applyFont="1" applyBorder="1" applyAlignment="1" applyProtection="1">
      <alignment horizontal="left" vertical="center"/>
      <protection locked="0" hidden="1"/>
    </xf>
    <xf numFmtId="14" fontId="17" fillId="0" borderId="60" xfId="0" applyNumberFormat="1" applyFont="1" applyBorder="1" applyAlignment="1" applyProtection="1">
      <alignment horizontal="left" vertical="center"/>
      <protection locked="0" hidden="1"/>
    </xf>
    <xf numFmtId="14" fontId="17" fillId="0" borderId="50" xfId="0" applyNumberFormat="1" applyFont="1" applyBorder="1" applyAlignment="1" applyProtection="1">
      <alignment horizontal="left" vertical="center"/>
      <protection locked="0" hidden="1"/>
    </xf>
    <xf numFmtId="0" fontId="17" fillId="0" borderId="54" xfId="0" applyFont="1" applyBorder="1" applyAlignment="1" applyProtection="1">
      <alignment horizontal="left" vertical="center"/>
      <protection locked="0" hidden="1"/>
    </xf>
    <xf numFmtId="1" fontId="17" fillId="0" borderId="54" xfId="1" applyNumberFormat="1" applyFont="1" applyBorder="1" applyAlignment="1" applyProtection="1">
      <alignment horizontal="left" vertical="center"/>
      <protection locked="0" hidden="1"/>
    </xf>
    <xf numFmtId="1" fontId="17" fillId="0" borderId="46" xfId="1" applyNumberFormat="1" applyFont="1" applyBorder="1" applyAlignment="1" applyProtection="1">
      <alignment horizontal="left" vertical="center"/>
      <protection locked="0" hidden="1"/>
    </xf>
    <xf numFmtId="1" fontId="17" fillId="0" borderId="72" xfId="1" applyNumberFormat="1" applyFont="1" applyBorder="1" applyAlignment="1" applyProtection="1">
      <alignment horizontal="left" vertical="center"/>
      <protection locked="0" hidden="1"/>
    </xf>
    <xf numFmtId="1" fontId="17" fillId="0" borderId="73" xfId="1" applyNumberFormat="1" applyFont="1" applyBorder="1" applyAlignment="1" applyProtection="1">
      <alignment horizontal="left" vertical="center"/>
      <protection locked="0" hidden="1"/>
    </xf>
    <xf numFmtId="0" fontId="5" fillId="0" borderId="0" xfId="0" applyFont="1" applyAlignment="1">
      <alignment horizontal="center"/>
    </xf>
    <xf numFmtId="0" fontId="5" fillId="0" borderId="66" xfId="0" applyFont="1" applyBorder="1" applyAlignment="1">
      <alignment horizontal="center"/>
    </xf>
    <xf numFmtId="0" fontId="14" fillId="0" borderId="0" xfId="0" applyFont="1" applyAlignment="1">
      <alignment horizontal="justify" vertical="top" wrapText="1"/>
    </xf>
  </cellXfs>
  <cellStyles count="5">
    <cellStyle name="Hipervínculo" xfId="3" builtinId="8"/>
    <cellStyle name="Millares" xfId="1" builtinId="3"/>
    <cellStyle name="Moneda" xfId="2" builtinId="4"/>
    <cellStyle name="Normal" xfId="0" builtinId="0"/>
    <cellStyle name="Normal 10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1</xdr:row>
      <xdr:rowOff>107156</xdr:rowOff>
    </xdr:from>
    <xdr:to>
      <xdr:col>3</xdr:col>
      <xdr:colOff>1243853</xdr:colOff>
      <xdr:row>6</xdr:row>
      <xdr:rowOff>47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14" t="4080" r="5382" b="5531"/>
        <a:stretch/>
      </xdr:blipFill>
      <xdr:spPr>
        <a:xfrm>
          <a:off x="809625" y="297656"/>
          <a:ext cx="1148603" cy="8453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15</xdr:col>
      <xdr:colOff>7327</xdr:colOff>
      <xdr:row>7</xdr:row>
      <xdr:rowOff>0</xdr:rowOff>
    </xdr:to>
    <xdr:sp macro="" textlink="">
      <xdr:nvSpPr>
        <xdr:cNvPr id="3" name="Rectángulo redondead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90500" y="1132417"/>
          <a:ext cx="10812910" cy="423333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10582</xdr:colOff>
      <xdr:row>8</xdr:row>
      <xdr:rowOff>86591</xdr:rowOff>
    </xdr:from>
    <xdr:to>
      <xdr:col>15</xdr:col>
      <xdr:colOff>13606</xdr:colOff>
      <xdr:row>10</xdr:row>
      <xdr:rowOff>86591</xdr:rowOff>
    </xdr:to>
    <xdr:sp macro="" textlink="">
      <xdr:nvSpPr>
        <xdr:cNvPr id="4" name="Rectángulo redondead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01082" y="2114055"/>
          <a:ext cx="11364988" cy="449036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0</xdr:colOff>
      <xdr:row>10</xdr:row>
      <xdr:rowOff>187037</xdr:rowOff>
    </xdr:from>
    <xdr:to>
      <xdr:col>8</xdr:col>
      <xdr:colOff>704850</xdr:colOff>
      <xdr:row>12</xdr:row>
      <xdr:rowOff>129886</xdr:rowOff>
    </xdr:to>
    <xdr:sp macro="" textlink="">
      <xdr:nvSpPr>
        <xdr:cNvPr id="5" name="Rectángulo redondead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90500" y="2197870"/>
          <a:ext cx="6388100" cy="567266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126999</xdr:colOff>
      <xdr:row>10</xdr:row>
      <xdr:rowOff>203367</xdr:rowOff>
    </xdr:from>
    <xdr:to>
      <xdr:col>15</xdr:col>
      <xdr:colOff>2709</xdr:colOff>
      <xdr:row>12</xdr:row>
      <xdr:rowOff>146216</xdr:rowOff>
    </xdr:to>
    <xdr:sp macro="" textlink="">
      <xdr:nvSpPr>
        <xdr:cNvPr id="6" name="Rectángulo redondead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6826249" y="2214200"/>
          <a:ext cx="4172543" cy="567266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2475</xdr:colOff>
      <xdr:row>14</xdr:row>
      <xdr:rowOff>67294</xdr:rowOff>
    </xdr:from>
    <xdr:to>
      <xdr:col>8</xdr:col>
      <xdr:colOff>1016775</xdr:colOff>
      <xdr:row>16</xdr:row>
      <xdr:rowOff>85519</xdr:rowOff>
    </xdr:to>
    <xdr:sp macro="" textlink="">
      <xdr:nvSpPr>
        <xdr:cNvPr id="7" name="Rectángulo redondead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97725" y="2896219"/>
          <a:ext cx="4557600" cy="5040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126999</xdr:colOff>
      <xdr:row>14</xdr:row>
      <xdr:rowOff>70016</xdr:rowOff>
    </xdr:from>
    <xdr:to>
      <xdr:col>15</xdr:col>
      <xdr:colOff>14653</xdr:colOff>
      <xdr:row>16</xdr:row>
      <xdr:rowOff>88241</xdr:rowOff>
    </xdr:to>
    <xdr:sp macro="" textlink="">
      <xdr:nvSpPr>
        <xdr:cNvPr id="8" name="Rectángulo redondead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6826249" y="2927516"/>
          <a:ext cx="4184487" cy="568558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2474</xdr:colOff>
      <xdr:row>19</xdr:row>
      <xdr:rowOff>0</xdr:rowOff>
    </xdr:from>
    <xdr:to>
      <xdr:col>4</xdr:col>
      <xdr:colOff>42333</xdr:colOff>
      <xdr:row>22</xdr:row>
      <xdr:rowOff>21166</xdr:rowOff>
    </xdr:to>
    <xdr:sp macro="" textlink="">
      <xdr:nvSpPr>
        <xdr:cNvPr id="9" name="Rectángulo redondead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388891" y="3499469"/>
          <a:ext cx="748942" cy="638614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561275</xdr:colOff>
      <xdr:row>19</xdr:row>
      <xdr:rowOff>0</xdr:rowOff>
    </xdr:from>
    <xdr:to>
      <xdr:col>6</xdr:col>
      <xdr:colOff>28575</xdr:colOff>
      <xdr:row>22</xdr:row>
      <xdr:rowOff>35983</xdr:rowOff>
    </xdr:to>
    <xdr:sp macro="" textlink="">
      <xdr:nvSpPr>
        <xdr:cNvPr id="10" name="Rectángulo redondead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3895025" y="4626429"/>
          <a:ext cx="542264" cy="934054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400"/>
        </a:p>
      </xdr:txBody>
    </xdr:sp>
    <xdr:clientData/>
  </xdr:twoCellAnchor>
  <xdr:twoCellAnchor>
    <xdr:from>
      <xdr:col>6</xdr:col>
      <xdr:colOff>335396</xdr:colOff>
      <xdr:row>18</xdr:row>
      <xdr:rowOff>293075</xdr:rowOff>
    </xdr:from>
    <xdr:to>
      <xdr:col>8</xdr:col>
      <xdr:colOff>88446</xdr:colOff>
      <xdr:row>22</xdr:row>
      <xdr:rowOff>71361</xdr:rowOff>
    </xdr:to>
    <xdr:sp macro="" textlink="">
      <xdr:nvSpPr>
        <xdr:cNvPr id="12" name="Rectángulo redondead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4929377" y="4623287"/>
          <a:ext cx="1562800" cy="950593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116417</xdr:colOff>
      <xdr:row>17</xdr:row>
      <xdr:rowOff>179916</xdr:rowOff>
    </xdr:from>
    <xdr:to>
      <xdr:col>15</xdr:col>
      <xdr:colOff>15876</xdr:colOff>
      <xdr:row>23</xdr:row>
      <xdr:rowOff>10583</xdr:rowOff>
    </xdr:to>
    <xdr:sp macro="" textlink="">
      <xdr:nvSpPr>
        <xdr:cNvPr id="13" name="Rectángulo redondead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6815667" y="3778249"/>
          <a:ext cx="4196292" cy="133350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4810</xdr:colOff>
      <xdr:row>17</xdr:row>
      <xdr:rowOff>173182</xdr:rowOff>
    </xdr:from>
    <xdr:to>
      <xdr:col>9</xdr:col>
      <xdr:colOff>13322</xdr:colOff>
      <xdr:row>23</xdr:row>
      <xdr:rowOff>3849</xdr:rowOff>
    </xdr:to>
    <xdr:sp macro="" textlink="">
      <xdr:nvSpPr>
        <xdr:cNvPr id="15" name="Rectángulo redondeado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195310" y="4312227"/>
          <a:ext cx="6572103" cy="1389304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200"/>
        </a:p>
      </xdr:txBody>
    </xdr:sp>
    <xdr:clientData/>
  </xdr:twoCellAnchor>
  <xdr:twoCellAnchor editAs="oneCell">
    <xdr:from>
      <xdr:col>1</xdr:col>
      <xdr:colOff>207170</xdr:colOff>
      <xdr:row>1</xdr:row>
      <xdr:rowOff>52387</xdr:rowOff>
    </xdr:from>
    <xdr:to>
      <xdr:col>1</xdr:col>
      <xdr:colOff>1576388</xdr:colOff>
      <xdr:row>4</xdr:row>
      <xdr:rowOff>274341</xdr:rowOff>
    </xdr:to>
    <xdr:pic>
      <xdr:nvPicPr>
        <xdr:cNvPr id="14" name="2 Imagen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14" t="4080" r="5382" b="5531"/>
        <a:stretch/>
      </xdr:blipFill>
      <xdr:spPr>
        <a:xfrm>
          <a:off x="397670" y="242887"/>
          <a:ext cx="1369218" cy="10220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81642</xdr:colOff>
      <xdr:row>0</xdr:row>
      <xdr:rowOff>122464</xdr:rowOff>
    </xdr:from>
    <xdr:to>
      <xdr:col>7</xdr:col>
      <xdr:colOff>75750</xdr:colOff>
      <xdr:row>4</xdr:row>
      <xdr:rowOff>211714</xdr:rowOff>
    </xdr:to>
    <xdr:pic>
      <xdr:nvPicPr>
        <xdr:cNvPr id="5" name="2 Image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14" t="4080" r="5382" b="5531"/>
        <a:stretch/>
      </xdr:blipFill>
      <xdr:spPr>
        <a:xfrm>
          <a:off x="258535" y="122464"/>
          <a:ext cx="1055465" cy="756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</xdr:colOff>
      <xdr:row>0</xdr:row>
      <xdr:rowOff>130969</xdr:rowOff>
    </xdr:from>
    <xdr:to>
      <xdr:col>6</xdr:col>
      <xdr:colOff>186308</xdr:colOff>
      <xdr:row>4</xdr:row>
      <xdr:rowOff>101156</xdr:rowOff>
    </xdr:to>
    <xdr:pic>
      <xdr:nvPicPr>
        <xdr:cNvPr id="4" name="2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14" t="4080" r="5382" b="5531"/>
        <a:stretch/>
      </xdr:blipFill>
      <xdr:spPr>
        <a:xfrm>
          <a:off x="202406" y="130969"/>
          <a:ext cx="1055465" cy="756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56445</xdr:colOff>
      <xdr:row>0</xdr:row>
      <xdr:rowOff>0</xdr:rowOff>
    </xdr:from>
    <xdr:to>
      <xdr:col>1</xdr:col>
      <xdr:colOff>1205048</xdr:colOff>
      <xdr:row>5</xdr:row>
      <xdr:rowOff>69280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B91F4B33-EFF4-DC46-AF81-0C6C0D4F10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14" t="4080" r="5382" b="5531"/>
        <a:stretch/>
      </xdr:blipFill>
      <xdr:spPr>
        <a:xfrm>
          <a:off x="170745" y="0"/>
          <a:ext cx="1148603" cy="8312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56445</xdr:colOff>
      <xdr:row>0</xdr:row>
      <xdr:rowOff>0</xdr:rowOff>
    </xdr:from>
    <xdr:to>
      <xdr:col>1</xdr:col>
      <xdr:colOff>1205048</xdr:colOff>
      <xdr:row>5</xdr:row>
      <xdr:rowOff>69280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FEC69795-70CD-F140-A36E-F2EBDF39D8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14" t="4080" r="5382" b="5531"/>
        <a:stretch/>
      </xdr:blipFill>
      <xdr:spPr>
        <a:xfrm>
          <a:off x="169334" y="0"/>
          <a:ext cx="1148603" cy="8453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136071</xdr:colOff>
      <xdr:row>0</xdr:row>
      <xdr:rowOff>27214</xdr:rowOff>
    </xdr:from>
    <xdr:to>
      <xdr:col>1</xdr:col>
      <xdr:colOff>1164743</xdr:colOff>
      <xdr:row>5</xdr:row>
      <xdr:rowOff>32109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0CF5150F-4B8D-480B-94A1-E9AE4B8F5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321" y="27214"/>
          <a:ext cx="1028672" cy="95739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11909</xdr:colOff>
      <xdr:row>33</xdr:row>
      <xdr:rowOff>68048</xdr:rowOff>
    </xdr:from>
    <xdr:to>
      <xdr:col>12</xdr:col>
      <xdr:colOff>0</xdr:colOff>
      <xdr:row>33</xdr:row>
      <xdr:rowOff>113767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/>
        <a:srcRect t="91180"/>
        <a:stretch/>
      </xdr:blipFill>
      <xdr:spPr>
        <a:xfrm>
          <a:off x="192884" y="6468848"/>
          <a:ext cx="6255541" cy="4571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4</xdr:row>
      <xdr:rowOff>101903</xdr:rowOff>
    </xdr:from>
    <xdr:to>
      <xdr:col>12</xdr:col>
      <xdr:colOff>1</xdr:colOff>
      <xdr:row>4</xdr:row>
      <xdr:rowOff>147622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/>
        <a:srcRect t="91180"/>
        <a:stretch/>
      </xdr:blipFill>
      <xdr:spPr>
        <a:xfrm>
          <a:off x="200026" y="863903"/>
          <a:ext cx="6248400" cy="45719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28</xdr:row>
      <xdr:rowOff>95250</xdr:rowOff>
    </xdr:from>
    <xdr:to>
      <xdr:col>12</xdr:col>
      <xdr:colOff>9525</xdr:colOff>
      <xdr:row>28</xdr:row>
      <xdr:rowOff>95250</xdr:rowOff>
    </xdr:to>
    <xdr:cxnSp macro="">
      <xdr:nvCxnSpPr>
        <xdr:cNvPr id="5" name="4 Conector recto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 flipV="1">
          <a:off x="161925" y="5543550"/>
          <a:ext cx="6296025" cy="0"/>
        </a:xfrm>
        <a:prstGeom prst="line">
          <a:avLst/>
        </a:prstGeom>
        <a:ln>
          <a:solidFill>
            <a:schemeClr val="bg1">
              <a:lumMod val="75000"/>
            </a:schemeClr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35006</xdr:colOff>
      <xdr:row>0</xdr:row>
      <xdr:rowOff>28493</xdr:rowOff>
    </xdr:from>
    <xdr:to>
      <xdr:col>1</xdr:col>
      <xdr:colOff>942367</xdr:colOff>
      <xdr:row>4</xdr:row>
      <xdr:rowOff>31724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914" t="4080" r="5382" b="5531"/>
        <a:stretch/>
      </xdr:blipFill>
      <xdr:spPr>
        <a:xfrm>
          <a:off x="188871" y="28493"/>
          <a:ext cx="907361" cy="648000"/>
        </a:xfrm>
        <a:prstGeom prst="rect">
          <a:avLst/>
        </a:prstGeom>
      </xdr:spPr>
    </xdr:pic>
    <xdr:clientData/>
  </xdr:twoCellAnchor>
  <xdr:twoCellAnchor editAs="oneCell">
    <xdr:from>
      <xdr:col>1</xdr:col>
      <xdr:colOff>29308</xdr:colOff>
      <xdr:row>29</xdr:row>
      <xdr:rowOff>0</xdr:rowOff>
    </xdr:from>
    <xdr:to>
      <xdr:col>1</xdr:col>
      <xdr:colOff>936669</xdr:colOff>
      <xdr:row>33</xdr:row>
      <xdr:rowOff>3230</xdr:rowOff>
    </xdr:to>
    <xdr:pic>
      <xdr:nvPicPr>
        <xdr:cNvPr id="7" name="6 Imagen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914" t="4080" r="5382" b="5531"/>
        <a:stretch/>
      </xdr:blipFill>
      <xdr:spPr>
        <a:xfrm>
          <a:off x="183173" y="4447442"/>
          <a:ext cx="907361" cy="648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11909</xdr:colOff>
      <xdr:row>33</xdr:row>
      <xdr:rowOff>68048</xdr:rowOff>
    </xdr:from>
    <xdr:to>
      <xdr:col>12</xdr:col>
      <xdr:colOff>19050</xdr:colOff>
      <xdr:row>33</xdr:row>
      <xdr:rowOff>113767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/>
        <a:srcRect t="91180"/>
        <a:stretch/>
      </xdr:blipFill>
      <xdr:spPr>
        <a:xfrm>
          <a:off x="164309" y="5173448"/>
          <a:ext cx="6255541" cy="4571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4</xdr:row>
      <xdr:rowOff>101903</xdr:rowOff>
    </xdr:from>
    <xdr:to>
      <xdr:col>12</xdr:col>
      <xdr:colOff>19051</xdr:colOff>
      <xdr:row>4</xdr:row>
      <xdr:rowOff>147622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/>
        <a:srcRect t="91180"/>
        <a:stretch/>
      </xdr:blipFill>
      <xdr:spPr>
        <a:xfrm>
          <a:off x="171451" y="749603"/>
          <a:ext cx="6248400" cy="45719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28</xdr:row>
      <xdr:rowOff>95250</xdr:rowOff>
    </xdr:from>
    <xdr:to>
      <xdr:col>12</xdr:col>
      <xdr:colOff>9525</xdr:colOff>
      <xdr:row>28</xdr:row>
      <xdr:rowOff>95250</xdr:rowOff>
    </xdr:to>
    <xdr:cxnSp macro="">
      <xdr:nvCxnSpPr>
        <xdr:cNvPr id="4" name="3 Conector recto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 flipV="1">
          <a:off x="152400" y="4391025"/>
          <a:ext cx="6276975" cy="0"/>
        </a:xfrm>
        <a:prstGeom prst="line">
          <a:avLst/>
        </a:prstGeom>
        <a:ln>
          <a:solidFill>
            <a:schemeClr val="bg1">
              <a:lumMod val="75000"/>
            </a:schemeClr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35718</xdr:colOff>
      <xdr:row>0</xdr:row>
      <xdr:rowOff>25400</xdr:rowOff>
    </xdr:from>
    <xdr:to>
      <xdr:col>1</xdr:col>
      <xdr:colOff>943079</xdr:colOff>
      <xdr:row>4</xdr:row>
      <xdr:rowOff>25700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914" t="4080" r="5382" b="5531"/>
        <a:stretch/>
      </xdr:blipFill>
      <xdr:spPr>
        <a:xfrm>
          <a:off x="188118" y="25400"/>
          <a:ext cx="907361" cy="673400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</xdr:colOff>
      <xdr:row>29</xdr:row>
      <xdr:rowOff>0</xdr:rowOff>
    </xdr:from>
    <xdr:to>
      <xdr:col>1</xdr:col>
      <xdr:colOff>931173</xdr:colOff>
      <xdr:row>33</xdr:row>
      <xdr:rowOff>300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914" t="4080" r="5382" b="5531"/>
        <a:stretch/>
      </xdr:blipFill>
      <xdr:spPr>
        <a:xfrm>
          <a:off x="178593" y="4292203"/>
          <a:ext cx="907361" cy="65593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68036</xdr:rowOff>
    </xdr:from>
    <xdr:to>
      <xdr:col>1</xdr:col>
      <xdr:colOff>1150715</xdr:colOff>
      <xdr:row>4</xdr:row>
      <xdr:rowOff>89250</xdr:rowOff>
    </xdr:to>
    <xdr:pic>
      <xdr:nvPicPr>
        <xdr:cNvPr id="5" name="2 Imagen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14" t="4080" r="5382" b="5531"/>
        <a:stretch/>
      </xdr:blipFill>
      <xdr:spPr>
        <a:xfrm>
          <a:off x="190500" y="68036"/>
          <a:ext cx="1055465" cy="756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81643</xdr:colOff>
      <xdr:row>0</xdr:row>
      <xdr:rowOff>95250</xdr:rowOff>
    </xdr:from>
    <xdr:to>
      <xdr:col>1</xdr:col>
      <xdr:colOff>1137108</xdr:colOff>
      <xdr:row>4</xdr:row>
      <xdr:rowOff>116464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14" t="4080" r="5382" b="5531"/>
        <a:stretch/>
      </xdr:blipFill>
      <xdr:spPr>
        <a:xfrm>
          <a:off x="176893" y="95250"/>
          <a:ext cx="1055465" cy="756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11909</xdr:colOff>
      <xdr:row>33</xdr:row>
      <xdr:rowOff>68048</xdr:rowOff>
    </xdr:from>
    <xdr:to>
      <xdr:col>12</xdr:col>
      <xdr:colOff>0</xdr:colOff>
      <xdr:row>33</xdr:row>
      <xdr:rowOff>113767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/>
        <a:srcRect t="91180"/>
        <a:stretch/>
      </xdr:blipFill>
      <xdr:spPr>
        <a:xfrm>
          <a:off x="164309" y="5173448"/>
          <a:ext cx="6255541" cy="4571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4</xdr:row>
      <xdr:rowOff>101903</xdr:rowOff>
    </xdr:from>
    <xdr:to>
      <xdr:col>12</xdr:col>
      <xdr:colOff>1</xdr:colOff>
      <xdr:row>4</xdr:row>
      <xdr:rowOff>147622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/>
        <a:srcRect t="91180"/>
        <a:stretch/>
      </xdr:blipFill>
      <xdr:spPr>
        <a:xfrm>
          <a:off x="171451" y="749603"/>
          <a:ext cx="6248400" cy="45719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28</xdr:row>
      <xdr:rowOff>95250</xdr:rowOff>
    </xdr:from>
    <xdr:to>
      <xdr:col>12</xdr:col>
      <xdr:colOff>9525</xdr:colOff>
      <xdr:row>28</xdr:row>
      <xdr:rowOff>95250</xdr:rowOff>
    </xdr:to>
    <xdr:cxnSp macro="">
      <xdr:nvCxnSpPr>
        <xdr:cNvPr id="4" name="3 Conector recto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CxnSpPr/>
      </xdr:nvCxnSpPr>
      <xdr:spPr>
        <a:xfrm flipV="1">
          <a:off x="152400" y="4391025"/>
          <a:ext cx="6276975" cy="0"/>
        </a:xfrm>
        <a:prstGeom prst="line">
          <a:avLst/>
        </a:prstGeom>
        <a:ln>
          <a:solidFill>
            <a:schemeClr val="bg1">
              <a:lumMod val="75000"/>
            </a:schemeClr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29766</xdr:colOff>
      <xdr:row>0</xdr:row>
      <xdr:rowOff>17859</xdr:rowOff>
    </xdr:from>
    <xdr:to>
      <xdr:col>1</xdr:col>
      <xdr:colOff>937127</xdr:colOff>
      <xdr:row>4</xdr:row>
      <xdr:rowOff>30859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914" t="4080" r="5382" b="5531"/>
        <a:stretch/>
      </xdr:blipFill>
      <xdr:spPr>
        <a:xfrm>
          <a:off x="184547" y="17859"/>
          <a:ext cx="907361" cy="655938"/>
        </a:xfrm>
        <a:prstGeom prst="rect">
          <a:avLst/>
        </a:prstGeom>
      </xdr:spPr>
    </xdr:pic>
    <xdr:clientData/>
  </xdr:twoCellAnchor>
  <xdr:twoCellAnchor editAs="oneCell">
    <xdr:from>
      <xdr:col>1</xdr:col>
      <xdr:colOff>17859</xdr:colOff>
      <xdr:row>29</xdr:row>
      <xdr:rowOff>0</xdr:rowOff>
    </xdr:from>
    <xdr:to>
      <xdr:col>1</xdr:col>
      <xdr:colOff>925220</xdr:colOff>
      <xdr:row>33</xdr:row>
      <xdr:rowOff>13000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914" t="4080" r="5382" b="5531"/>
        <a:stretch/>
      </xdr:blipFill>
      <xdr:spPr>
        <a:xfrm>
          <a:off x="172640" y="4435078"/>
          <a:ext cx="907361" cy="65593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11909</xdr:colOff>
      <xdr:row>33</xdr:row>
      <xdr:rowOff>68048</xdr:rowOff>
    </xdr:from>
    <xdr:to>
      <xdr:col>12</xdr:col>
      <xdr:colOff>0</xdr:colOff>
      <xdr:row>33</xdr:row>
      <xdr:rowOff>113767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/>
        <a:srcRect t="91180"/>
        <a:stretch/>
      </xdr:blipFill>
      <xdr:spPr>
        <a:xfrm>
          <a:off x="164309" y="5030573"/>
          <a:ext cx="6255541" cy="4571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4</xdr:row>
      <xdr:rowOff>101903</xdr:rowOff>
    </xdr:from>
    <xdr:to>
      <xdr:col>12</xdr:col>
      <xdr:colOff>1</xdr:colOff>
      <xdr:row>4</xdr:row>
      <xdr:rowOff>147622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/>
        <a:srcRect t="91180"/>
        <a:stretch/>
      </xdr:blipFill>
      <xdr:spPr>
        <a:xfrm>
          <a:off x="171451" y="749603"/>
          <a:ext cx="6248400" cy="45719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28</xdr:row>
      <xdr:rowOff>95250</xdr:rowOff>
    </xdr:from>
    <xdr:to>
      <xdr:col>12</xdr:col>
      <xdr:colOff>9525</xdr:colOff>
      <xdr:row>28</xdr:row>
      <xdr:rowOff>95250</xdr:rowOff>
    </xdr:to>
    <xdr:cxnSp macro="">
      <xdr:nvCxnSpPr>
        <xdr:cNvPr id="4" name="3 Conector recto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CxnSpPr/>
      </xdr:nvCxnSpPr>
      <xdr:spPr>
        <a:xfrm flipV="1">
          <a:off x="152400" y="4248150"/>
          <a:ext cx="6276975" cy="0"/>
        </a:xfrm>
        <a:prstGeom prst="line">
          <a:avLst/>
        </a:prstGeom>
        <a:ln>
          <a:solidFill>
            <a:schemeClr val="bg1">
              <a:lumMod val="75000"/>
            </a:schemeClr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907361</xdr:colOff>
      <xdr:row>33</xdr:row>
      <xdr:rowOff>13000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914" t="4080" r="5382" b="5531"/>
        <a:stretch/>
      </xdr:blipFill>
      <xdr:spPr>
        <a:xfrm>
          <a:off x="148167" y="4243917"/>
          <a:ext cx="907361" cy="648000"/>
        </a:xfrm>
        <a:prstGeom prst="rect">
          <a:avLst/>
        </a:prstGeom>
      </xdr:spPr>
    </xdr:pic>
    <xdr:clientData/>
  </xdr:twoCellAnchor>
  <xdr:twoCellAnchor editAs="oneCell">
    <xdr:from>
      <xdr:col>1</xdr:col>
      <xdr:colOff>29308</xdr:colOff>
      <xdr:row>0</xdr:row>
      <xdr:rowOff>14654</xdr:rowOff>
    </xdr:from>
    <xdr:to>
      <xdr:col>1</xdr:col>
      <xdr:colOff>936669</xdr:colOff>
      <xdr:row>4</xdr:row>
      <xdr:rowOff>35592</xdr:rowOff>
    </xdr:to>
    <xdr:pic>
      <xdr:nvPicPr>
        <xdr:cNvPr id="7" name="6 Imagen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914" t="4080" r="5382" b="5531"/>
        <a:stretch/>
      </xdr:blipFill>
      <xdr:spPr>
        <a:xfrm>
          <a:off x="183173" y="14654"/>
          <a:ext cx="907361" cy="665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ira_torres@hot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msepulveda@ecoservicios.mx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C000"/>
    <pageSetUpPr fitToPage="1"/>
  </sheetPr>
  <dimension ref="A7:O2314"/>
  <sheetViews>
    <sheetView showGridLines="0" zoomScaleNormal="100" zoomScaleSheetLayoutView="80" zoomScalePageLayoutView="60" workbookViewId="0">
      <selection activeCell="J35" sqref="J35"/>
    </sheetView>
  </sheetViews>
  <sheetFormatPr baseColWidth="10" defaultRowHeight="15" x14ac:dyDescent="0.2"/>
  <cols>
    <col min="1" max="1" width="5" bestFit="1" customWidth="1"/>
    <col min="2" max="2" width="1" customWidth="1"/>
    <col min="3" max="3" width="4.6640625" customWidth="1"/>
    <col min="4" max="4" width="24" bestFit="1" customWidth="1"/>
    <col min="5" max="5" width="43.1640625" bestFit="1" customWidth="1"/>
    <col min="6" max="6" width="5.33203125" customWidth="1"/>
    <col min="7" max="7" width="5.83203125" bestFit="1" customWidth="1"/>
    <col min="8" max="8" width="15.5" bestFit="1" customWidth="1"/>
    <col min="9" max="9" width="25.33203125" bestFit="1" customWidth="1"/>
    <col min="10" max="10" width="10.83203125" bestFit="1" customWidth="1"/>
    <col min="11" max="11" width="16.83203125" bestFit="1" customWidth="1"/>
    <col min="12" max="12" width="12.6640625" bestFit="1" customWidth="1"/>
    <col min="13" max="13" width="17.5" bestFit="1" customWidth="1"/>
    <col min="14" max="14" width="17.83203125" bestFit="1" customWidth="1"/>
    <col min="15" max="15" width="2.33203125" customWidth="1"/>
  </cols>
  <sheetData>
    <row r="7" spans="1:15" ht="16" thickBot="1" x14ac:dyDescent="0.25"/>
    <row r="8" spans="1:15" ht="16" thickBot="1" x14ac:dyDescent="0.25">
      <c r="D8" s="51" t="s">
        <v>84</v>
      </c>
      <c r="E8" s="66">
        <f ca="1">TODAY()</f>
        <v>46079</v>
      </c>
    </row>
    <row r="9" spans="1:15" ht="16" thickBot="1" x14ac:dyDescent="0.25">
      <c r="D9" s="51" t="s">
        <v>94</v>
      </c>
      <c r="E9" s="67"/>
    </row>
    <row r="10" spans="1:15" ht="9" customHeight="1" thickBot="1" x14ac:dyDescent="0.25"/>
    <row r="11" spans="1:15" ht="15" customHeight="1" thickBot="1" x14ac:dyDescent="0.25">
      <c r="A11" s="305" t="s">
        <v>65</v>
      </c>
      <c r="B11" s="306"/>
      <c r="C11" s="307"/>
      <c r="D11" s="1" t="s">
        <v>1</v>
      </c>
      <c r="E11" s="5" t="s">
        <v>239</v>
      </c>
      <c r="G11" s="300" t="s">
        <v>69</v>
      </c>
      <c r="H11" s="16" t="s">
        <v>1</v>
      </c>
      <c r="I11" s="17" t="s">
        <v>250</v>
      </c>
      <c r="K11" s="83"/>
      <c r="L11" s="317" t="s">
        <v>166</v>
      </c>
      <c r="M11" s="317"/>
      <c r="N11" s="317"/>
      <c r="O11" s="317"/>
    </row>
    <row r="12" spans="1:15" ht="15" customHeight="1" x14ac:dyDescent="0.2">
      <c r="A12" s="308"/>
      <c r="B12" s="309"/>
      <c r="C12" s="310"/>
      <c r="D12" s="2" t="s">
        <v>2</v>
      </c>
      <c r="E12" s="6" t="s">
        <v>240</v>
      </c>
      <c r="G12" s="301"/>
      <c r="H12" s="2" t="s">
        <v>2</v>
      </c>
      <c r="I12" s="6" t="s">
        <v>251</v>
      </c>
      <c r="L12" s="317"/>
      <c r="M12" s="317"/>
      <c r="N12" s="317"/>
      <c r="O12" s="317"/>
    </row>
    <row r="13" spans="1:15" ht="15" customHeight="1" x14ac:dyDescent="0.2">
      <c r="A13" s="308"/>
      <c r="B13" s="309"/>
      <c r="C13" s="310"/>
      <c r="D13" s="2" t="s">
        <v>3</v>
      </c>
      <c r="E13" s="6" t="s">
        <v>231</v>
      </c>
      <c r="G13" s="301"/>
      <c r="H13" s="2" t="s">
        <v>3</v>
      </c>
      <c r="I13" s="6" t="s">
        <v>252</v>
      </c>
    </row>
    <row r="14" spans="1:15" ht="15" customHeight="1" thickBot="1" x14ac:dyDescent="0.25">
      <c r="A14" s="308"/>
      <c r="B14" s="309"/>
      <c r="C14" s="310"/>
      <c r="D14" s="3" t="s">
        <v>4</v>
      </c>
      <c r="E14" s="7">
        <v>25971</v>
      </c>
      <c r="G14" s="302"/>
      <c r="H14" s="28" t="s">
        <v>71</v>
      </c>
      <c r="I14" s="29" t="s">
        <v>72</v>
      </c>
    </row>
    <row r="15" spans="1:15" ht="15" customHeight="1" x14ac:dyDescent="0.2">
      <c r="A15" s="308"/>
      <c r="B15" s="309"/>
      <c r="C15" s="310"/>
      <c r="D15" s="3" t="s">
        <v>5</v>
      </c>
      <c r="E15" s="7" t="s">
        <v>234</v>
      </c>
      <c r="G15" s="22"/>
    </row>
    <row r="16" spans="1:15" ht="15" customHeight="1" thickBot="1" x14ac:dyDescent="0.25">
      <c r="A16" s="308"/>
      <c r="B16" s="309"/>
      <c r="C16" s="310"/>
      <c r="D16" s="3" t="s">
        <v>6</v>
      </c>
      <c r="E16" s="7" t="s">
        <v>241</v>
      </c>
    </row>
    <row r="17" spans="1:15" ht="15" customHeight="1" x14ac:dyDescent="0.2">
      <c r="A17" s="308"/>
      <c r="B17" s="309"/>
      <c r="C17" s="310"/>
      <c r="D17" s="3" t="s">
        <v>7</v>
      </c>
      <c r="E17" s="7" t="s">
        <v>242</v>
      </c>
      <c r="G17" s="300" t="s">
        <v>81</v>
      </c>
      <c r="H17" s="16" t="s">
        <v>103</v>
      </c>
      <c r="I17" s="30" t="s">
        <v>228</v>
      </c>
    </row>
    <row r="18" spans="1:15" ht="15" customHeight="1" x14ac:dyDescent="0.2">
      <c r="A18" s="308"/>
      <c r="B18" s="309"/>
      <c r="C18" s="310"/>
      <c r="D18" s="3" t="s">
        <v>8</v>
      </c>
      <c r="E18" s="8" t="s">
        <v>243</v>
      </c>
      <c r="G18" s="301"/>
      <c r="H18" s="2" t="s">
        <v>74</v>
      </c>
      <c r="I18" s="39" t="s">
        <v>159</v>
      </c>
    </row>
    <row r="19" spans="1:15" ht="15" customHeight="1" x14ac:dyDescent="0.2">
      <c r="A19" s="308"/>
      <c r="B19" s="309"/>
      <c r="C19" s="310"/>
      <c r="D19" s="3" t="s">
        <v>9</v>
      </c>
      <c r="E19" s="8" t="s">
        <v>234</v>
      </c>
      <c r="G19" s="301"/>
      <c r="H19" s="2" t="s">
        <v>75</v>
      </c>
      <c r="I19" s="121">
        <v>45</v>
      </c>
    </row>
    <row r="20" spans="1:15" ht="15" customHeight="1" x14ac:dyDescent="0.2">
      <c r="A20" s="308"/>
      <c r="B20" s="309"/>
      <c r="C20" s="310"/>
      <c r="D20" s="3" t="s">
        <v>10</v>
      </c>
      <c r="E20" s="11" t="s">
        <v>27</v>
      </c>
      <c r="G20" s="301"/>
      <c r="H20" s="2" t="s">
        <v>76</v>
      </c>
      <c r="I20" s="122">
        <v>16</v>
      </c>
    </row>
    <row r="21" spans="1:15" ht="15" customHeight="1" x14ac:dyDescent="0.2">
      <c r="A21" s="308"/>
      <c r="B21" s="309"/>
      <c r="C21" s="310"/>
      <c r="D21" s="3" t="s">
        <v>11</v>
      </c>
      <c r="E21" s="11" t="s">
        <v>30</v>
      </c>
      <c r="G21" s="301"/>
      <c r="H21" s="2" t="s">
        <v>77</v>
      </c>
      <c r="I21" s="121">
        <v>114</v>
      </c>
    </row>
    <row r="22" spans="1:15" ht="15" customHeight="1" x14ac:dyDescent="0.2">
      <c r="A22" s="308"/>
      <c r="B22" s="309"/>
      <c r="C22" s="310"/>
      <c r="D22" s="3" t="s">
        <v>24</v>
      </c>
      <c r="E22" s="8" t="s">
        <v>244</v>
      </c>
      <c r="G22" s="301"/>
      <c r="H22" s="2" t="s">
        <v>79</v>
      </c>
      <c r="I22" s="121" t="s">
        <v>237</v>
      </c>
    </row>
    <row r="23" spans="1:15" ht="15" customHeight="1" x14ac:dyDescent="0.2">
      <c r="A23" s="308"/>
      <c r="B23" s="309"/>
      <c r="C23" s="310"/>
      <c r="D23" s="3" t="s">
        <v>13</v>
      </c>
      <c r="E23" s="9" t="s">
        <v>245</v>
      </c>
      <c r="G23" s="301"/>
      <c r="H23" s="2" t="s">
        <v>113</v>
      </c>
      <c r="I23" s="121"/>
    </row>
    <row r="24" spans="1:15" ht="15" customHeight="1" x14ac:dyDescent="0.2">
      <c r="A24" s="308"/>
      <c r="B24" s="309"/>
      <c r="C24" s="310"/>
      <c r="D24" s="3" t="s">
        <v>14</v>
      </c>
      <c r="E24" s="8">
        <v>1612</v>
      </c>
      <c r="G24" s="301"/>
      <c r="H24" s="2" t="s">
        <v>78</v>
      </c>
      <c r="I24" s="182">
        <v>166.929</v>
      </c>
    </row>
    <row r="25" spans="1:15" ht="15" customHeight="1" x14ac:dyDescent="0.2">
      <c r="A25" s="308"/>
      <c r="B25" s="309"/>
      <c r="C25" s="310"/>
      <c r="D25" s="3" t="s">
        <v>15</v>
      </c>
      <c r="E25" s="8" t="s">
        <v>246</v>
      </c>
      <c r="G25" s="301"/>
      <c r="H25" s="2" t="s">
        <v>101</v>
      </c>
      <c r="I25" s="123">
        <f>I26/I24</f>
        <v>12580.19876714052</v>
      </c>
    </row>
    <row r="26" spans="1:15" ht="15" customHeight="1" thickBot="1" x14ac:dyDescent="0.25">
      <c r="A26" s="308"/>
      <c r="B26" s="309"/>
      <c r="C26" s="310"/>
      <c r="D26" s="3" t="s">
        <v>16</v>
      </c>
      <c r="E26" s="8" t="s">
        <v>235</v>
      </c>
      <c r="G26" s="302"/>
      <c r="H26" s="28" t="s">
        <v>80</v>
      </c>
      <c r="I26" s="31">
        <v>2100000</v>
      </c>
    </row>
    <row r="27" spans="1:15" ht="15" customHeight="1" thickBot="1" x14ac:dyDescent="0.25">
      <c r="A27" s="308"/>
      <c r="B27" s="309"/>
      <c r="C27" s="310"/>
      <c r="D27" s="3" t="s">
        <v>17</v>
      </c>
      <c r="E27" s="10" t="s">
        <v>49</v>
      </c>
      <c r="K27" s="89"/>
      <c r="L27" s="285" t="s">
        <v>145</v>
      </c>
      <c r="M27" s="286"/>
      <c r="N27" s="286"/>
      <c r="O27" s="90"/>
    </row>
    <row r="28" spans="1:15" ht="15" customHeight="1" x14ac:dyDescent="0.2">
      <c r="A28" s="308"/>
      <c r="B28" s="309"/>
      <c r="C28" s="310"/>
      <c r="D28" s="3" t="s">
        <v>19</v>
      </c>
      <c r="E28" s="8">
        <v>64989</v>
      </c>
      <c r="G28" s="305" t="s">
        <v>119</v>
      </c>
      <c r="H28" s="16" t="s">
        <v>91</v>
      </c>
      <c r="I28" s="30" t="s">
        <v>90</v>
      </c>
      <c r="L28" s="90"/>
      <c r="M28" s="90"/>
      <c r="N28" s="90"/>
      <c r="O28" s="90"/>
    </row>
    <row r="29" spans="1:15" ht="15" customHeight="1" x14ac:dyDescent="0.2">
      <c r="A29" s="308"/>
      <c r="B29" s="309"/>
      <c r="C29" s="310"/>
      <c r="D29" s="3" t="s">
        <v>20</v>
      </c>
      <c r="E29" s="8" t="s">
        <v>247</v>
      </c>
      <c r="G29" s="308"/>
      <c r="H29" s="2" t="s">
        <v>152</v>
      </c>
      <c r="I29" s="121" t="s">
        <v>29</v>
      </c>
    </row>
    <row r="30" spans="1:15" ht="15" customHeight="1" thickBot="1" x14ac:dyDescent="0.25">
      <c r="A30" s="308"/>
      <c r="B30" s="309"/>
      <c r="C30" s="310"/>
      <c r="D30" s="3" t="s">
        <v>21</v>
      </c>
      <c r="E30" s="8" t="s">
        <v>248</v>
      </c>
      <c r="G30" s="308"/>
      <c r="H30" s="28" t="s">
        <v>92</v>
      </c>
      <c r="I30" s="124">
        <v>0</v>
      </c>
    </row>
    <row r="31" spans="1:15" ht="15" customHeight="1" thickBot="1" x14ac:dyDescent="0.25">
      <c r="A31" s="308"/>
      <c r="B31" s="309"/>
      <c r="C31" s="310"/>
      <c r="D31" s="3" t="s">
        <v>22</v>
      </c>
      <c r="E31" s="8" t="s">
        <v>247</v>
      </c>
      <c r="G31" s="308"/>
      <c r="H31" s="71" t="s">
        <v>85</v>
      </c>
      <c r="I31" s="71" t="s">
        <v>83</v>
      </c>
      <c r="J31" s="71" t="s">
        <v>84</v>
      </c>
      <c r="K31" s="71" t="s">
        <v>86</v>
      </c>
      <c r="L31" s="71" t="s">
        <v>87</v>
      </c>
      <c r="M31" s="71" t="s">
        <v>140</v>
      </c>
      <c r="N31" s="71" t="s">
        <v>139</v>
      </c>
    </row>
    <row r="32" spans="1:15" ht="15" customHeight="1" thickBot="1" x14ac:dyDescent="0.25">
      <c r="A32" s="311"/>
      <c r="B32" s="312"/>
      <c r="C32" s="313"/>
      <c r="D32" s="4" t="s">
        <v>23</v>
      </c>
      <c r="E32" s="87" t="s">
        <v>249</v>
      </c>
      <c r="G32" s="308"/>
      <c r="H32" s="72">
        <v>1</v>
      </c>
      <c r="I32" s="76" t="s">
        <v>232</v>
      </c>
      <c r="J32" s="181" t="s">
        <v>254</v>
      </c>
      <c r="K32" s="179">
        <f>(I26)</f>
        <v>2100000</v>
      </c>
      <c r="L32" s="36">
        <f>((K32*I$30)/365)*30.4</f>
        <v>0</v>
      </c>
      <c r="M32" s="77">
        <v>50000</v>
      </c>
      <c r="N32" s="73">
        <f>(M32)</f>
        <v>50000</v>
      </c>
    </row>
    <row r="33" spans="1:14" ht="15" customHeight="1" thickBot="1" x14ac:dyDescent="0.25">
      <c r="G33" s="308"/>
      <c r="H33" s="35">
        <v>2</v>
      </c>
      <c r="I33" s="76" t="s">
        <v>233</v>
      </c>
      <c r="J33" s="181" t="s">
        <v>253</v>
      </c>
      <c r="K33" s="180">
        <f>(K32-M32)</f>
        <v>2050000</v>
      </c>
      <c r="L33" s="36">
        <f>((K33*I$30)/365)*30.4</f>
        <v>0</v>
      </c>
      <c r="M33" s="78">
        <v>630000</v>
      </c>
      <c r="N33" s="74">
        <f>(L33+M33)</f>
        <v>630000</v>
      </c>
    </row>
    <row r="34" spans="1:14" ht="15" customHeight="1" x14ac:dyDescent="0.2">
      <c r="A34" s="300" t="s">
        <v>66</v>
      </c>
      <c r="B34" s="23"/>
      <c r="C34" s="300" t="s">
        <v>67</v>
      </c>
      <c r="D34" s="16" t="s">
        <v>64</v>
      </c>
      <c r="E34" s="17"/>
      <c r="G34" s="308"/>
      <c r="H34" s="35">
        <v>3</v>
      </c>
      <c r="I34" s="76" t="s">
        <v>236</v>
      </c>
      <c r="J34" s="181" t="s">
        <v>255</v>
      </c>
      <c r="K34" s="180">
        <f>(K33-M33)</f>
        <v>1420000</v>
      </c>
      <c r="L34" s="36">
        <f t="shared" ref="L34" si="0">((K34*I$30)/365)*30.4</f>
        <v>0</v>
      </c>
      <c r="M34" s="78">
        <f>I26-M32-M33</f>
        <v>1420000</v>
      </c>
      <c r="N34" s="74">
        <f t="shared" ref="N34" si="1">(L34+M34)</f>
        <v>1420000</v>
      </c>
    </row>
    <row r="35" spans="1:14" ht="15" customHeight="1" x14ac:dyDescent="0.25">
      <c r="A35" s="303"/>
      <c r="B35" s="24"/>
      <c r="C35" s="301"/>
      <c r="D35" s="2" t="s">
        <v>6</v>
      </c>
      <c r="E35" s="6"/>
      <c r="G35" s="308"/>
      <c r="H35" s="35"/>
      <c r="I35" s="76"/>
      <c r="J35" s="181"/>
      <c r="K35" s="180"/>
      <c r="L35" s="36"/>
      <c r="M35" s="78"/>
      <c r="N35" s="74"/>
    </row>
    <row r="36" spans="1:14" ht="15" customHeight="1" x14ac:dyDescent="0.25">
      <c r="A36" s="303"/>
      <c r="B36" s="24"/>
      <c r="C36" s="301"/>
      <c r="D36" s="14" t="s">
        <v>13</v>
      </c>
      <c r="E36" s="6"/>
      <c r="G36" s="308"/>
      <c r="H36" s="35"/>
      <c r="I36" s="76"/>
      <c r="J36" s="181"/>
      <c r="K36" s="180"/>
      <c r="L36" s="36"/>
      <c r="M36" s="78"/>
      <c r="N36" s="74"/>
    </row>
    <row r="37" spans="1:14" ht="15" customHeight="1" x14ac:dyDescent="0.25">
      <c r="A37" s="303"/>
      <c r="B37" s="24"/>
      <c r="C37" s="301"/>
      <c r="D37" s="14" t="s">
        <v>14</v>
      </c>
      <c r="E37" s="15"/>
      <c r="G37" s="308"/>
      <c r="H37" s="35"/>
      <c r="I37" s="76"/>
      <c r="J37" s="181"/>
      <c r="K37" s="180"/>
      <c r="L37" s="36"/>
      <c r="M37" s="78"/>
      <c r="N37" s="74"/>
    </row>
    <row r="38" spans="1:14" ht="15" customHeight="1" x14ac:dyDescent="0.25">
      <c r="A38" s="303"/>
      <c r="B38" s="24"/>
      <c r="C38" s="301"/>
      <c r="D38" s="14" t="s">
        <v>15</v>
      </c>
      <c r="E38" s="18"/>
      <c r="G38" s="308"/>
      <c r="H38" s="35"/>
      <c r="I38" s="76"/>
      <c r="J38" s="181"/>
      <c r="K38" s="180"/>
      <c r="L38" s="36"/>
      <c r="M38" s="78"/>
      <c r="N38" s="74"/>
    </row>
    <row r="39" spans="1:14" ht="15" customHeight="1" x14ac:dyDescent="0.25">
      <c r="A39" s="303"/>
      <c r="B39" s="24"/>
      <c r="C39" s="301"/>
      <c r="D39" s="14" t="s">
        <v>16</v>
      </c>
      <c r="E39" s="18"/>
      <c r="G39" s="308"/>
      <c r="H39" s="35"/>
      <c r="I39" s="76"/>
      <c r="J39" s="181"/>
      <c r="K39" s="180"/>
      <c r="L39" s="36"/>
      <c r="M39" s="78"/>
      <c r="N39" s="74"/>
    </row>
    <row r="40" spans="1:14" ht="15" customHeight="1" x14ac:dyDescent="0.25">
      <c r="A40" s="303"/>
      <c r="B40" s="24"/>
      <c r="C40" s="301"/>
      <c r="D40" s="14" t="s">
        <v>17</v>
      </c>
      <c r="E40" s="25"/>
      <c r="G40" s="308"/>
      <c r="H40" s="35"/>
      <c r="I40" s="76"/>
      <c r="J40" s="181"/>
      <c r="K40" s="180"/>
      <c r="L40" s="36"/>
      <c r="M40" s="78"/>
      <c r="N40" s="74"/>
    </row>
    <row r="41" spans="1:14" ht="15" customHeight="1" x14ac:dyDescent="0.25">
      <c r="A41" s="303"/>
      <c r="B41" s="24"/>
      <c r="C41" s="301"/>
      <c r="D41" s="14" t="s">
        <v>19</v>
      </c>
      <c r="E41" s="19"/>
      <c r="G41" s="308"/>
      <c r="H41" s="35"/>
      <c r="I41" s="76"/>
      <c r="J41" s="181"/>
      <c r="K41" s="180"/>
      <c r="L41" s="36"/>
      <c r="M41" s="78"/>
      <c r="N41" s="74"/>
    </row>
    <row r="42" spans="1:14" ht="15" customHeight="1" thickBot="1" x14ac:dyDescent="0.3">
      <c r="A42" s="303"/>
      <c r="B42" s="24"/>
      <c r="C42" s="301"/>
      <c r="D42" s="20" t="s">
        <v>22</v>
      </c>
      <c r="E42" s="21"/>
      <c r="G42" s="308"/>
      <c r="H42" s="35"/>
      <c r="I42" s="76"/>
      <c r="J42" s="181"/>
      <c r="K42" s="180"/>
      <c r="L42" s="36"/>
      <c r="M42" s="78"/>
      <c r="N42" s="74"/>
    </row>
    <row r="43" spans="1:14" ht="5.25" customHeight="1" thickBot="1" x14ac:dyDescent="0.3">
      <c r="A43" s="303"/>
      <c r="B43" s="24"/>
      <c r="C43" s="22"/>
      <c r="D43" s="26"/>
      <c r="E43" s="27"/>
      <c r="G43" s="308"/>
      <c r="H43" s="287"/>
      <c r="I43" s="288"/>
      <c r="J43" s="289"/>
      <c r="K43" s="288"/>
      <c r="L43" s="288"/>
      <c r="M43" s="288"/>
      <c r="N43" s="290"/>
    </row>
    <row r="44" spans="1:14" ht="15" customHeight="1" x14ac:dyDescent="0.25">
      <c r="A44" s="303"/>
      <c r="B44" s="24"/>
      <c r="C44" s="300" t="s">
        <v>141</v>
      </c>
      <c r="D44" s="1" t="s">
        <v>1</v>
      </c>
      <c r="E44" s="17"/>
      <c r="G44" s="308"/>
      <c r="H44" s="35"/>
      <c r="I44" s="76"/>
      <c r="J44" s="181"/>
      <c r="K44" s="180"/>
      <c r="L44" s="36"/>
      <c r="M44" s="78"/>
      <c r="N44" s="74"/>
    </row>
    <row r="45" spans="1:14" ht="15" customHeight="1" x14ac:dyDescent="0.25">
      <c r="A45" s="303"/>
      <c r="B45" s="24"/>
      <c r="C45" s="301"/>
      <c r="D45" s="2"/>
      <c r="E45" s="6"/>
      <c r="G45" s="308"/>
      <c r="H45" s="33"/>
      <c r="I45" s="32"/>
      <c r="J45" s="32"/>
      <c r="K45" s="36"/>
      <c r="L45" s="36"/>
      <c r="M45" s="70"/>
      <c r="N45" s="75"/>
    </row>
    <row r="46" spans="1:14" ht="15" customHeight="1" x14ac:dyDescent="0.25">
      <c r="A46" s="303"/>
      <c r="B46" s="24"/>
      <c r="C46" s="301"/>
      <c r="D46" s="2"/>
      <c r="E46" s="6"/>
      <c r="G46" s="308"/>
      <c r="H46" s="33"/>
      <c r="I46" s="32"/>
      <c r="J46" s="32"/>
      <c r="K46" s="36"/>
      <c r="L46" s="36"/>
      <c r="M46" s="70"/>
      <c r="N46" s="75"/>
    </row>
    <row r="47" spans="1:14" ht="15" customHeight="1" x14ac:dyDescent="0.25">
      <c r="A47" s="303"/>
      <c r="B47" s="24"/>
      <c r="C47" s="301"/>
      <c r="D47" s="2" t="s">
        <v>2</v>
      </c>
      <c r="E47" s="6"/>
      <c r="G47" s="308"/>
      <c r="H47" s="33"/>
      <c r="I47" s="32"/>
      <c r="J47" s="32"/>
      <c r="K47" s="36"/>
      <c r="L47" s="36"/>
      <c r="M47" s="70"/>
      <c r="N47" s="75"/>
    </row>
    <row r="48" spans="1:14" ht="15" customHeight="1" thickBot="1" x14ac:dyDescent="0.3">
      <c r="A48" s="303"/>
      <c r="B48" s="24"/>
      <c r="C48" s="301"/>
      <c r="D48" s="2" t="s">
        <v>3</v>
      </c>
      <c r="E48" s="6"/>
      <c r="G48" s="311"/>
      <c r="H48" s="34"/>
      <c r="I48" s="79" t="s">
        <v>93</v>
      </c>
      <c r="J48" s="80"/>
      <c r="K48" s="81"/>
      <c r="L48" s="81">
        <f>SUM(L32:L47)</f>
        <v>0</v>
      </c>
      <c r="M48" s="81">
        <f>SUM(M32:M47)</f>
        <v>2100000</v>
      </c>
      <c r="N48" s="82">
        <f>SUM(N32:N47)</f>
        <v>2100000</v>
      </c>
    </row>
    <row r="49" spans="1:14" ht="15" customHeight="1" thickBot="1" x14ac:dyDescent="0.3">
      <c r="A49" s="303"/>
      <c r="B49" s="24"/>
      <c r="C49" s="301"/>
      <c r="D49" s="3" t="s">
        <v>4</v>
      </c>
      <c r="E49" s="18"/>
    </row>
    <row r="50" spans="1:14" ht="15" customHeight="1" x14ac:dyDescent="0.25">
      <c r="A50" s="303"/>
      <c r="B50" s="24"/>
      <c r="C50" s="301"/>
      <c r="D50" s="3" t="s">
        <v>5</v>
      </c>
      <c r="E50" s="18"/>
      <c r="G50" s="305" t="s">
        <v>137</v>
      </c>
      <c r="H50" s="103" t="s">
        <v>153</v>
      </c>
      <c r="I50" s="104"/>
      <c r="J50" s="297">
        <v>45944</v>
      </c>
      <c r="K50" s="298"/>
      <c r="L50" s="298"/>
      <c r="M50" s="298"/>
      <c r="N50" s="299"/>
    </row>
    <row r="51" spans="1:14" ht="15" customHeight="1" x14ac:dyDescent="0.25">
      <c r="A51" s="303"/>
      <c r="B51" s="24"/>
      <c r="C51" s="301"/>
      <c r="D51" s="3" t="s">
        <v>6</v>
      </c>
      <c r="E51" s="176"/>
      <c r="G51" s="301"/>
      <c r="H51" s="291"/>
      <c r="I51" s="292"/>
      <c r="J51" s="292"/>
      <c r="K51" s="292"/>
      <c r="L51" s="292"/>
      <c r="M51" s="292"/>
      <c r="N51" s="293"/>
    </row>
    <row r="52" spans="1:14" ht="15" customHeight="1" x14ac:dyDescent="0.25">
      <c r="A52" s="303"/>
      <c r="B52" s="24"/>
      <c r="C52" s="301"/>
      <c r="D52" s="3" t="s">
        <v>7</v>
      </c>
      <c r="E52" s="15"/>
      <c r="G52" s="301"/>
      <c r="H52" s="294"/>
      <c r="I52" s="295"/>
      <c r="J52" s="295"/>
      <c r="K52" s="295"/>
      <c r="L52" s="295"/>
      <c r="M52" s="295"/>
      <c r="N52" s="296"/>
    </row>
    <row r="53" spans="1:14" ht="15" customHeight="1" x14ac:dyDescent="0.25">
      <c r="A53" s="303"/>
      <c r="B53" s="24"/>
      <c r="C53" s="301"/>
      <c r="D53" s="3" t="s">
        <v>8</v>
      </c>
      <c r="E53" s="15"/>
      <c r="G53" s="301"/>
      <c r="H53" s="294"/>
      <c r="I53" s="295"/>
      <c r="J53" s="295"/>
      <c r="K53" s="295"/>
      <c r="L53" s="295"/>
      <c r="M53" s="295"/>
      <c r="N53" s="296"/>
    </row>
    <row r="54" spans="1:14" ht="15" customHeight="1" x14ac:dyDescent="0.25">
      <c r="A54" s="303"/>
      <c r="B54" s="24"/>
      <c r="C54" s="301"/>
      <c r="D54" s="3" t="s">
        <v>9</v>
      </c>
      <c r="E54" s="15"/>
      <c r="G54" s="301"/>
      <c r="H54" s="294"/>
      <c r="I54" s="295"/>
      <c r="J54" s="295"/>
      <c r="K54" s="295"/>
      <c r="L54" s="295"/>
      <c r="M54" s="295"/>
      <c r="N54" s="296"/>
    </row>
    <row r="55" spans="1:14" ht="15" customHeight="1" x14ac:dyDescent="0.25">
      <c r="A55" s="303"/>
      <c r="B55" s="24"/>
      <c r="C55" s="301"/>
      <c r="D55" s="3" t="s">
        <v>24</v>
      </c>
      <c r="E55" s="177"/>
      <c r="G55" s="301"/>
      <c r="H55" s="294"/>
      <c r="I55" s="295"/>
      <c r="J55" s="295"/>
      <c r="K55" s="295"/>
      <c r="L55" s="295"/>
      <c r="M55" s="295"/>
      <c r="N55" s="296"/>
    </row>
    <row r="56" spans="1:14" ht="15" customHeight="1" x14ac:dyDescent="0.25">
      <c r="A56" s="303"/>
      <c r="B56" s="24"/>
      <c r="C56" s="301"/>
      <c r="D56" s="3" t="s">
        <v>13</v>
      </c>
      <c r="E56" s="178"/>
      <c r="G56" s="301"/>
      <c r="H56" s="294"/>
      <c r="I56" s="295"/>
      <c r="J56" s="295"/>
      <c r="K56" s="295"/>
      <c r="L56" s="295"/>
      <c r="M56" s="295"/>
      <c r="N56" s="296"/>
    </row>
    <row r="57" spans="1:14" ht="15" customHeight="1" x14ac:dyDescent="0.25">
      <c r="A57" s="303"/>
      <c r="B57" s="24"/>
      <c r="C57" s="301"/>
      <c r="D57" s="3" t="s">
        <v>14</v>
      </c>
      <c r="E57" s="177"/>
      <c r="G57" s="301"/>
      <c r="H57" s="294"/>
      <c r="I57" s="295"/>
      <c r="J57" s="295"/>
      <c r="K57" s="295"/>
      <c r="L57" s="295"/>
      <c r="M57" s="295"/>
      <c r="N57" s="296"/>
    </row>
    <row r="58" spans="1:14" ht="15" customHeight="1" x14ac:dyDescent="0.25">
      <c r="A58" s="303"/>
      <c r="B58" s="24"/>
      <c r="C58" s="301"/>
      <c r="D58" s="3" t="s">
        <v>15</v>
      </c>
      <c r="E58" s="177"/>
      <c r="G58" s="301"/>
      <c r="H58" s="294"/>
      <c r="I58" s="295"/>
      <c r="J58" s="295"/>
      <c r="K58" s="295"/>
      <c r="L58" s="295"/>
      <c r="M58" s="295"/>
      <c r="N58" s="296"/>
    </row>
    <row r="59" spans="1:14" ht="15" customHeight="1" x14ac:dyDescent="0.25">
      <c r="A59" s="303"/>
      <c r="B59" s="24"/>
      <c r="C59" s="301"/>
      <c r="D59" s="3" t="s">
        <v>16</v>
      </c>
      <c r="E59" s="177"/>
      <c r="G59" s="301"/>
      <c r="H59" s="294"/>
      <c r="I59" s="295"/>
      <c r="J59" s="295"/>
      <c r="K59" s="295"/>
      <c r="L59" s="295"/>
      <c r="M59" s="295"/>
      <c r="N59" s="296"/>
    </row>
    <row r="60" spans="1:14" ht="15" customHeight="1" x14ac:dyDescent="0.25">
      <c r="A60" s="303"/>
      <c r="B60" s="24"/>
      <c r="C60" s="301"/>
      <c r="D60" s="3" t="s">
        <v>17</v>
      </c>
      <c r="E60" s="10"/>
      <c r="G60" s="301"/>
      <c r="H60" s="294"/>
      <c r="I60" s="295"/>
      <c r="J60" s="295"/>
      <c r="K60" s="295"/>
      <c r="L60" s="295"/>
      <c r="M60" s="295"/>
      <c r="N60" s="296"/>
    </row>
    <row r="61" spans="1:14" ht="15" customHeight="1" x14ac:dyDescent="0.25">
      <c r="A61" s="303"/>
      <c r="B61" s="24"/>
      <c r="C61" s="301"/>
      <c r="D61" s="3" t="s">
        <v>19</v>
      </c>
      <c r="E61" s="177"/>
      <c r="G61" s="301"/>
      <c r="H61" s="294"/>
      <c r="I61" s="295"/>
      <c r="J61" s="295"/>
      <c r="K61" s="295"/>
      <c r="L61" s="295"/>
      <c r="M61" s="295"/>
      <c r="N61" s="296"/>
    </row>
    <row r="62" spans="1:14" ht="15" customHeight="1" x14ac:dyDescent="0.25">
      <c r="A62" s="303"/>
      <c r="B62" s="24"/>
      <c r="C62" s="301"/>
      <c r="D62" s="3" t="s">
        <v>20</v>
      </c>
      <c r="E62" s="15"/>
      <c r="G62" s="301"/>
      <c r="H62" s="294"/>
      <c r="I62" s="295"/>
      <c r="J62" s="295"/>
      <c r="K62" s="295"/>
      <c r="L62" s="295"/>
      <c r="M62" s="295"/>
      <c r="N62" s="296"/>
    </row>
    <row r="63" spans="1:14" ht="15" customHeight="1" x14ac:dyDescent="0.25">
      <c r="A63" s="303"/>
      <c r="B63" s="24"/>
      <c r="C63" s="301"/>
      <c r="D63" s="3" t="s">
        <v>21</v>
      </c>
      <c r="E63" s="15"/>
      <c r="G63" s="301"/>
      <c r="H63" s="294"/>
      <c r="I63" s="295"/>
      <c r="J63" s="295"/>
      <c r="K63" s="295"/>
      <c r="L63" s="295"/>
      <c r="M63" s="295"/>
      <c r="N63" s="296"/>
    </row>
    <row r="64" spans="1:14" ht="15" customHeight="1" x14ac:dyDescent="0.25">
      <c r="A64" s="303"/>
      <c r="B64" s="24"/>
      <c r="C64" s="301"/>
      <c r="D64" s="3" t="s">
        <v>22</v>
      </c>
      <c r="E64" s="15"/>
      <c r="G64" s="301"/>
      <c r="H64" s="294"/>
      <c r="I64" s="295"/>
      <c r="J64" s="295"/>
      <c r="K64" s="295"/>
      <c r="L64" s="295"/>
      <c r="M64" s="295"/>
      <c r="N64" s="296"/>
    </row>
    <row r="65" spans="1:14" ht="15" customHeight="1" thickBot="1" x14ac:dyDescent="0.3">
      <c r="A65" s="304"/>
      <c r="B65" s="24"/>
      <c r="C65" s="302"/>
      <c r="D65" s="4" t="s">
        <v>23</v>
      </c>
      <c r="E65" s="84"/>
      <c r="G65" s="302"/>
      <c r="H65" s="314"/>
      <c r="I65" s="315"/>
      <c r="J65" s="315"/>
      <c r="K65" s="315"/>
      <c r="L65" s="315"/>
      <c r="M65" s="315"/>
      <c r="N65" s="316"/>
    </row>
    <row r="66" spans="1:14" s="117" customFormat="1" x14ac:dyDescent="0.2"/>
    <row r="67" spans="1:14" s="117" customFormat="1" x14ac:dyDescent="0.2"/>
    <row r="68" spans="1:14" s="117" customFormat="1" x14ac:dyDescent="0.2"/>
    <row r="69" spans="1:14" s="117" customFormat="1" x14ac:dyDescent="0.2"/>
    <row r="70" spans="1:14" s="117" customFormat="1" x14ac:dyDescent="0.2"/>
    <row r="71" spans="1:14" s="117" customFormat="1" x14ac:dyDescent="0.2"/>
    <row r="72" spans="1:14" s="117" customFormat="1" x14ac:dyDescent="0.2"/>
    <row r="73" spans="1:14" s="117" customFormat="1" x14ac:dyDescent="0.2"/>
    <row r="74" spans="1:14" s="117" customFormat="1" x14ac:dyDescent="0.2"/>
    <row r="75" spans="1:14" s="117" customFormat="1" x14ac:dyDescent="0.2"/>
    <row r="76" spans="1:14" s="117" customFormat="1" x14ac:dyDescent="0.2"/>
    <row r="77" spans="1:14" s="117" customFormat="1" x14ac:dyDescent="0.2"/>
    <row r="78" spans="1:14" s="117" customFormat="1" x14ac:dyDescent="0.2"/>
    <row r="79" spans="1:14" s="117" customFormat="1" x14ac:dyDescent="0.2">
      <c r="D79" s="118" t="s">
        <v>25</v>
      </c>
    </row>
    <row r="80" spans="1:14" s="117" customFormat="1" x14ac:dyDescent="0.2">
      <c r="D80" s="119" t="s">
        <v>26</v>
      </c>
    </row>
    <row r="81" spans="4:4" s="117" customFormat="1" x14ac:dyDescent="0.2">
      <c r="D81" s="119" t="s">
        <v>27</v>
      </c>
    </row>
    <row r="82" spans="4:4" s="117" customFormat="1" x14ac:dyDescent="0.2">
      <c r="D82" s="119"/>
    </row>
    <row r="83" spans="4:4" s="117" customFormat="1" x14ac:dyDescent="0.2">
      <c r="D83" s="118" t="s">
        <v>28</v>
      </c>
    </row>
    <row r="84" spans="4:4" s="117" customFormat="1" x14ac:dyDescent="0.2">
      <c r="D84" s="119" t="s">
        <v>29</v>
      </c>
    </row>
    <row r="85" spans="4:4" s="117" customFormat="1" x14ac:dyDescent="0.2">
      <c r="D85" s="119" t="s">
        <v>12</v>
      </c>
    </row>
    <row r="86" spans="4:4" s="117" customFormat="1" x14ac:dyDescent="0.2">
      <c r="D86" s="119" t="s">
        <v>30</v>
      </c>
    </row>
    <row r="87" spans="4:4" s="117" customFormat="1" x14ac:dyDescent="0.2">
      <c r="D87" s="119"/>
    </row>
    <row r="88" spans="4:4" s="117" customFormat="1" x14ac:dyDescent="0.2">
      <c r="D88" s="118" t="s">
        <v>62</v>
      </c>
    </row>
    <row r="89" spans="4:4" s="117" customFormat="1" x14ac:dyDescent="0.2">
      <c r="D89" s="119" t="s">
        <v>29</v>
      </c>
    </row>
    <row r="90" spans="4:4" s="117" customFormat="1" x14ac:dyDescent="0.2">
      <c r="D90" s="119" t="s">
        <v>32</v>
      </c>
    </row>
    <row r="91" spans="4:4" s="117" customFormat="1" x14ac:dyDescent="0.2">
      <c r="D91" s="119" t="s">
        <v>33</v>
      </c>
    </row>
    <row r="92" spans="4:4" s="117" customFormat="1" x14ac:dyDescent="0.2">
      <c r="D92" s="119" t="s">
        <v>34</v>
      </c>
    </row>
    <row r="93" spans="4:4" s="117" customFormat="1" x14ac:dyDescent="0.2">
      <c r="D93" s="119" t="s">
        <v>35</v>
      </c>
    </row>
    <row r="94" spans="4:4" s="117" customFormat="1" x14ac:dyDescent="0.2">
      <c r="D94" s="119" t="s">
        <v>36</v>
      </c>
    </row>
    <row r="95" spans="4:4" s="117" customFormat="1" x14ac:dyDescent="0.2">
      <c r="D95" s="119" t="s">
        <v>37</v>
      </c>
    </row>
    <row r="96" spans="4:4" s="117" customFormat="1" x14ac:dyDescent="0.2">
      <c r="D96" s="119" t="s">
        <v>38</v>
      </c>
    </row>
    <row r="97" spans="4:4" s="117" customFormat="1" x14ac:dyDescent="0.2">
      <c r="D97" s="119" t="s">
        <v>39</v>
      </c>
    </row>
    <row r="98" spans="4:4" s="117" customFormat="1" x14ac:dyDescent="0.2">
      <c r="D98" s="119" t="s">
        <v>63</v>
      </c>
    </row>
    <row r="99" spans="4:4" s="117" customFormat="1" x14ac:dyDescent="0.2">
      <c r="D99" s="119" t="s">
        <v>40</v>
      </c>
    </row>
    <row r="100" spans="4:4" s="117" customFormat="1" x14ac:dyDescent="0.2">
      <c r="D100" s="119" t="s">
        <v>41</v>
      </c>
    </row>
    <row r="101" spans="4:4" s="117" customFormat="1" x14ac:dyDescent="0.2">
      <c r="D101" s="119" t="s">
        <v>42</v>
      </c>
    </row>
    <row r="102" spans="4:4" s="117" customFormat="1" x14ac:dyDescent="0.2">
      <c r="D102" s="119" t="s">
        <v>43</v>
      </c>
    </row>
    <row r="103" spans="4:4" s="117" customFormat="1" x14ac:dyDescent="0.2">
      <c r="D103" s="119" t="s">
        <v>44</v>
      </c>
    </row>
    <row r="104" spans="4:4" s="117" customFormat="1" x14ac:dyDescent="0.2">
      <c r="D104" s="119" t="s">
        <v>45</v>
      </c>
    </row>
    <row r="105" spans="4:4" s="117" customFormat="1" x14ac:dyDescent="0.2">
      <c r="D105" s="119" t="s">
        <v>46</v>
      </c>
    </row>
    <row r="106" spans="4:4" s="117" customFormat="1" x14ac:dyDescent="0.2">
      <c r="D106" s="119" t="s">
        <v>47</v>
      </c>
    </row>
    <row r="107" spans="4:4" s="117" customFormat="1" x14ac:dyDescent="0.2">
      <c r="D107" s="119" t="s">
        <v>48</v>
      </c>
    </row>
    <row r="108" spans="4:4" s="117" customFormat="1" x14ac:dyDescent="0.2">
      <c r="D108" s="119" t="s">
        <v>49</v>
      </c>
    </row>
    <row r="109" spans="4:4" s="117" customFormat="1" x14ac:dyDescent="0.2">
      <c r="D109" s="119" t="s">
        <v>50</v>
      </c>
    </row>
    <row r="110" spans="4:4" s="117" customFormat="1" x14ac:dyDescent="0.2">
      <c r="D110" s="119" t="s">
        <v>51</v>
      </c>
    </row>
    <row r="111" spans="4:4" s="117" customFormat="1" x14ac:dyDescent="0.2">
      <c r="D111" s="119" t="s">
        <v>52</v>
      </c>
    </row>
    <row r="112" spans="4:4" s="117" customFormat="1" x14ac:dyDescent="0.2">
      <c r="D112" s="119" t="s">
        <v>53</v>
      </c>
    </row>
    <row r="113" spans="4:4" s="117" customFormat="1" x14ac:dyDescent="0.2">
      <c r="D113" s="119" t="s">
        <v>54</v>
      </c>
    </row>
    <row r="114" spans="4:4" s="117" customFormat="1" x14ac:dyDescent="0.2">
      <c r="D114" s="119" t="s">
        <v>55</v>
      </c>
    </row>
    <row r="115" spans="4:4" s="117" customFormat="1" x14ac:dyDescent="0.2">
      <c r="D115" s="119" t="s">
        <v>56</v>
      </c>
    </row>
    <row r="116" spans="4:4" s="117" customFormat="1" x14ac:dyDescent="0.2">
      <c r="D116" s="119" t="s">
        <v>18</v>
      </c>
    </row>
    <row r="117" spans="4:4" s="117" customFormat="1" x14ac:dyDescent="0.2">
      <c r="D117" s="119" t="s">
        <v>57</v>
      </c>
    </row>
    <row r="118" spans="4:4" s="117" customFormat="1" x14ac:dyDescent="0.2">
      <c r="D118" s="119" t="s">
        <v>58</v>
      </c>
    </row>
    <row r="119" spans="4:4" s="117" customFormat="1" x14ac:dyDescent="0.2">
      <c r="D119" s="119" t="s">
        <v>59</v>
      </c>
    </row>
    <row r="120" spans="4:4" s="117" customFormat="1" x14ac:dyDescent="0.2">
      <c r="D120" s="119" t="s">
        <v>60</v>
      </c>
    </row>
    <row r="121" spans="4:4" s="117" customFormat="1" x14ac:dyDescent="0.2">
      <c r="D121" s="119" t="s">
        <v>61</v>
      </c>
    </row>
    <row r="122" spans="4:4" s="117" customFormat="1" x14ac:dyDescent="0.2">
      <c r="D122" s="119"/>
    </row>
    <row r="123" spans="4:4" s="117" customFormat="1" x14ac:dyDescent="0.2">
      <c r="D123" s="118" t="s">
        <v>70</v>
      </c>
    </row>
    <row r="124" spans="4:4" s="117" customFormat="1" x14ac:dyDescent="0.2">
      <c r="D124" s="119" t="s">
        <v>72</v>
      </c>
    </row>
    <row r="125" spans="4:4" s="117" customFormat="1" x14ac:dyDescent="0.2">
      <c r="D125" s="119" t="s">
        <v>73</v>
      </c>
    </row>
    <row r="126" spans="4:4" s="117" customFormat="1" x14ac:dyDescent="0.2"/>
    <row r="127" spans="4:4" s="117" customFormat="1" x14ac:dyDescent="0.2">
      <c r="D127" s="118" t="s">
        <v>31</v>
      </c>
    </row>
    <row r="128" spans="4:4" s="117" customFormat="1" x14ac:dyDescent="0.2">
      <c r="D128" s="119" t="s">
        <v>159</v>
      </c>
    </row>
    <row r="129" spans="4:4" s="117" customFormat="1" x14ac:dyDescent="0.2">
      <c r="D129" s="119"/>
    </row>
    <row r="130" spans="4:4" s="117" customFormat="1" x14ac:dyDescent="0.2"/>
    <row r="131" spans="4:4" s="117" customFormat="1" x14ac:dyDescent="0.2">
      <c r="D131" s="118" t="s">
        <v>82</v>
      </c>
    </row>
    <row r="132" spans="4:4" s="117" customFormat="1" x14ac:dyDescent="0.2">
      <c r="D132" s="119" t="s">
        <v>88</v>
      </c>
    </row>
    <row r="133" spans="4:4" s="117" customFormat="1" x14ac:dyDescent="0.2">
      <c r="D133" s="119" t="s">
        <v>89</v>
      </c>
    </row>
    <row r="134" spans="4:4" s="117" customFormat="1" x14ac:dyDescent="0.2">
      <c r="D134" s="119" t="s">
        <v>90</v>
      </c>
    </row>
    <row r="135" spans="4:4" s="117" customFormat="1" x14ac:dyDescent="0.2"/>
    <row r="136" spans="4:4" s="117" customFormat="1" x14ac:dyDescent="0.2">
      <c r="D136" s="118" t="s">
        <v>104</v>
      </c>
    </row>
    <row r="137" spans="4:4" s="117" customFormat="1" x14ac:dyDescent="0.2">
      <c r="D137" s="119" t="s">
        <v>228</v>
      </c>
    </row>
    <row r="138" spans="4:4" s="117" customFormat="1" x14ac:dyDescent="0.2">
      <c r="D138" s="119"/>
    </row>
    <row r="139" spans="4:4" s="117" customFormat="1" x14ac:dyDescent="0.2"/>
    <row r="140" spans="4:4" s="117" customFormat="1" x14ac:dyDescent="0.2"/>
    <row r="141" spans="4:4" s="117" customFormat="1" x14ac:dyDescent="0.2"/>
    <row r="142" spans="4:4" s="117" customFormat="1" x14ac:dyDescent="0.2"/>
    <row r="143" spans="4:4" s="117" customFormat="1" x14ac:dyDescent="0.2"/>
    <row r="144" spans="4:4" s="117" customFormat="1" x14ac:dyDescent="0.2"/>
    <row r="145" s="117" customFormat="1" x14ac:dyDescent="0.2"/>
    <row r="146" s="117" customFormat="1" x14ac:dyDescent="0.2"/>
    <row r="147" s="117" customFormat="1" x14ac:dyDescent="0.2"/>
    <row r="148" s="117" customFormat="1" x14ac:dyDescent="0.2"/>
    <row r="149" s="117" customFormat="1" x14ac:dyDescent="0.2"/>
    <row r="150" s="117" customFormat="1" x14ac:dyDescent="0.2"/>
    <row r="151" s="117" customFormat="1" x14ac:dyDescent="0.2"/>
    <row r="152" s="117" customFormat="1" x14ac:dyDescent="0.2"/>
    <row r="153" s="117" customFormat="1" x14ac:dyDescent="0.2"/>
    <row r="154" s="117" customFormat="1" x14ac:dyDescent="0.2"/>
    <row r="155" s="117" customFormat="1" x14ac:dyDescent="0.2"/>
    <row r="156" s="117" customFormat="1" x14ac:dyDescent="0.2"/>
    <row r="157" s="117" customFormat="1" x14ac:dyDescent="0.2"/>
    <row r="158" s="117" customFormat="1" x14ac:dyDescent="0.2"/>
    <row r="159" s="117" customFormat="1" x14ac:dyDescent="0.2"/>
    <row r="160" s="117" customFormat="1" x14ac:dyDescent="0.2"/>
    <row r="161" s="117" customFormat="1" x14ac:dyDescent="0.2"/>
    <row r="162" s="117" customFormat="1" x14ac:dyDescent="0.2"/>
    <row r="163" s="117" customFormat="1" x14ac:dyDescent="0.2"/>
    <row r="164" s="117" customFormat="1" x14ac:dyDescent="0.2"/>
    <row r="165" s="117" customFormat="1" x14ac:dyDescent="0.2"/>
    <row r="166" s="117" customFormat="1" x14ac:dyDescent="0.2"/>
    <row r="167" s="117" customFormat="1" x14ac:dyDescent="0.2"/>
    <row r="168" s="117" customFormat="1" x14ac:dyDescent="0.2"/>
    <row r="169" s="117" customFormat="1" x14ac:dyDescent="0.2"/>
    <row r="170" s="117" customFormat="1" x14ac:dyDescent="0.2"/>
    <row r="171" s="117" customFormat="1" x14ac:dyDescent="0.2"/>
    <row r="172" s="117" customFormat="1" x14ac:dyDescent="0.2"/>
    <row r="173" s="117" customFormat="1" x14ac:dyDescent="0.2"/>
    <row r="174" s="117" customFormat="1" x14ac:dyDescent="0.2"/>
    <row r="175" s="117" customFormat="1" x14ac:dyDescent="0.2"/>
    <row r="176" s="117" customFormat="1" x14ac:dyDescent="0.2"/>
    <row r="177" s="117" customFormat="1" x14ac:dyDescent="0.2"/>
    <row r="178" s="117" customFormat="1" x14ac:dyDescent="0.2"/>
    <row r="179" s="117" customFormat="1" x14ac:dyDescent="0.2"/>
    <row r="180" s="117" customFormat="1" x14ac:dyDescent="0.2"/>
    <row r="181" s="117" customFormat="1" x14ac:dyDescent="0.2"/>
    <row r="182" s="117" customFormat="1" x14ac:dyDescent="0.2"/>
    <row r="183" s="117" customFormat="1" x14ac:dyDescent="0.2"/>
    <row r="184" s="117" customFormat="1" x14ac:dyDescent="0.2"/>
    <row r="185" s="117" customFormat="1" x14ac:dyDescent="0.2"/>
    <row r="186" s="117" customFormat="1" x14ac:dyDescent="0.2"/>
    <row r="187" s="117" customFormat="1" x14ac:dyDescent="0.2"/>
    <row r="188" s="117" customFormat="1" x14ac:dyDescent="0.2"/>
    <row r="189" s="117" customFormat="1" x14ac:dyDescent="0.2"/>
    <row r="190" s="117" customFormat="1" x14ac:dyDescent="0.2"/>
    <row r="191" s="117" customFormat="1" x14ac:dyDescent="0.2"/>
    <row r="192" s="117" customFormat="1" x14ac:dyDescent="0.2"/>
    <row r="193" s="117" customFormat="1" x14ac:dyDescent="0.2"/>
    <row r="194" s="117" customFormat="1" x14ac:dyDescent="0.2"/>
    <row r="195" s="117" customFormat="1" x14ac:dyDescent="0.2"/>
    <row r="196" s="117" customFormat="1" x14ac:dyDescent="0.2"/>
    <row r="197" s="117" customFormat="1" x14ac:dyDescent="0.2"/>
    <row r="198" s="117" customFormat="1" x14ac:dyDescent="0.2"/>
    <row r="199" s="117" customFormat="1" x14ac:dyDescent="0.2"/>
    <row r="200" s="117" customFormat="1" x14ac:dyDescent="0.2"/>
    <row r="201" s="117" customFormat="1" x14ac:dyDescent="0.2"/>
    <row r="202" s="117" customFormat="1" x14ac:dyDescent="0.2"/>
    <row r="203" s="117" customFormat="1" x14ac:dyDescent="0.2"/>
    <row r="204" s="117" customFormat="1" x14ac:dyDescent="0.2"/>
    <row r="205" s="117" customFormat="1" x14ac:dyDescent="0.2"/>
    <row r="206" s="117" customFormat="1" x14ac:dyDescent="0.2"/>
    <row r="207" s="117" customFormat="1" x14ac:dyDescent="0.2"/>
    <row r="208" s="117" customFormat="1" x14ac:dyDescent="0.2"/>
    <row r="209" s="117" customFormat="1" x14ac:dyDescent="0.2"/>
    <row r="210" s="117" customFormat="1" x14ac:dyDescent="0.2"/>
    <row r="211" s="117" customFormat="1" x14ac:dyDescent="0.2"/>
    <row r="212" s="117" customFormat="1" x14ac:dyDescent="0.2"/>
    <row r="213" s="117" customFormat="1" x14ac:dyDescent="0.2"/>
    <row r="214" s="117" customFormat="1" x14ac:dyDescent="0.2"/>
    <row r="215" s="117" customFormat="1" x14ac:dyDescent="0.2"/>
    <row r="216" s="117" customFormat="1" x14ac:dyDescent="0.2"/>
    <row r="217" s="117" customFormat="1" x14ac:dyDescent="0.2"/>
    <row r="218" s="117" customFormat="1" x14ac:dyDescent="0.2"/>
    <row r="219" s="117" customFormat="1" x14ac:dyDescent="0.2"/>
    <row r="220" s="117" customFormat="1" x14ac:dyDescent="0.2"/>
    <row r="221" s="117" customFormat="1" x14ac:dyDescent="0.2"/>
    <row r="222" s="117" customFormat="1" x14ac:dyDescent="0.2"/>
    <row r="223" s="117" customFormat="1" x14ac:dyDescent="0.2"/>
    <row r="224" s="117" customFormat="1" x14ac:dyDescent="0.2"/>
    <row r="225" s="117" customFormat="1" x14ac:dyDescent="0.2"/>
    <row r="226" s="117" customFormat="1" x14ac:dyDescent="0.2"/>
    <row r="227" s="117" customFormat="1" x14ac:dyDescent="0.2"/>
    <row r="228" s="117" customFormat="1" x14ac:dyDescent="0.2"/>
    <row r="229" s="117" customFormat="1" x14ac:dyDescent="0.2"/>
    <row r="230" s="117" customFormat="1" x14ac:dyDescent="0.2"/>
    <row r="231" s="117" customFormat="1" x14ac:dyDescent="0.2"/>
    <row r="232" s="117" customFormat="1" x14ac:dyDescent="0.2"/>
    <row r="233" s="117" customFormat="1" x14ac:dyDescent="0.2"/>
    <row r="234" s="117" customFormat="1" x14ac:dyDescent="0.2"/>
    <row r="235" s="117" customFormat="1" x14ac:dyDescent="0.2"/>
    <row r="236" s="117" customFormat="1" x14ac:dyDescent="0.2"/>
    <row r="237" s="117" customFormat="1" x14ac:dyDescent="0.2"/>
    <row r="238" s="117" customFormat="1" x14ac:dyDescent="0.2"/>
    <row r="239" s="117" customFormat="1" x14ac:dyDescent="0.2"/>
    <row r="240" s="117" customFormat="1" x14ac:dyDescent="0.2"/>
    <row r="241" s="117" customFormat="1" x14ac:dyDescent="0.2"/>
    <row r="242" s="117" customFormat="1" x14ac:dyDescent="0.2"/>
    <row r="243" s="117" customFormat="1" x14ac:dyDescent="0.2"/>
    <row r="244" s="117" customFormat="1" x14ac:dyDescent="0.2"/>
    <row r="245" s="117" customFormat="1" x14ac:dyDescent="0.2"/>
    <row r="246" s="117" customFormat="1" x14ac:dyDescent="0.2"/>
    <row r="247" s="117" customFormat="1" x14ac:dyDescent="0.2"/>
    <row r="248" s="117" customFormat="1" x14ac:dyDescent="0.2"/>
    <row r="249" s="117" customFormat="1" x14ac:dyDescent="0.2"/>
    <row r="250" s="117" customFormat="1" x14ac:dyDescent="0.2"/>
    <row r="251" s="117" customFormat="1" x14ac:dyDescent="0.2"/>
    <row r="252" s="117" customFormat="1" x14ac:dyDescent="0.2"/>
    <row r="253" s="117" customFormat="1" x14ac:dyDescent="0.2"/>
    <row r="254" s="117" customFormat="1" x14ac:dyDescent="0.2"/>
    <row r="255" s="117" customFormat="1" x14ac:dyDescent="0.2"/>
    <row r="256" s="117" customFormat="1" x14ac:dyDescent="0.2"/>
    <row r="257" s="117" customFormat="1" x14ac:dyDescent="0.2"/>
    <row r="258" s="117" customFormat="1" x14ac:dyDescent="0.2"/>
    <row r="259" s="117" customFormat="1" x14ac:dyDescent="0.2"/>
    <row r="260" s="117" customFormat="1" x14ac:dyDescent="0.2"/>
    <row r="261" s="117" customFormat="1" x14ac:dyDescent="0.2"/>
    <row r="262" s="117" customFormat="1" x14ac:dyDescent="0.2"/>
    <row r="263" s="117" customFormat="1" x14ac:dyDescent="0.2"/>
    <row r="264" s="117" customFormat="1" x14ac:dyDescent="0.2"/>
    <row r="265" s="117" customFormat="1" x14ac:dyDescent="0.2"/>
    <row r="266" s="117" customFormat="1" x14ac:dyDescent="0.2"/>
    <row r="267" s="117" customFormat="1" x14ac:dyDescent="0.2"/>
    <row r="268" s="117" customFormat="1" x14ac:dyDescent="0.2"/>
    <row r="269" s="117" customFormat="1" x14ac:dyDescent="0.2"/>
    <row r="270" s="117" customFormat="1" x14ac:dyDescent="0.2"/>
    <row r="271" s="117" customFormat="1" x14ac:dyDescent="0.2"/>
    <row r="272" s="117" customFormat="1" x14ac:dyDescent="0.2"/>
    <row r="273" s="117" customFormat="1" x14ac:dyDescent="0.2"/>
    <row r="274" s="117" customFormat="1" x14ac:dyDescent="0.2"/>
    <row r="275" s="117" customFormat="1" x14ac:dyDescent="0.2"/>
    <row r="276" s="117" customFormat="1" x14ac:dyDescent="0.2"/>
    <row r="277" s="117" customFormat="1" x14ac:dyDescent="0.2"/>
    <row r="278" s="117" customFormat="1" x14ac:dyDescent="0.2"/>
    <row r="279" s="117" customFormat="1" x14ac:dyDescent="0.2"/>
    <row r="280" s="117" customFormat="1" x14ac:dyDescent="0.2"/>
    <row r="281" s="117" customFormat="1" x14ac:dyDescent="0.2"/>
    <row r="282" s="117" customFormat="1" x14ac:dyDescent="0.2"/>
    <row r="283" s="117" customFormat="1" x14ac:dyDescent="0.2"/>
    <row r="284" s="117" customFormat="1" x14ac:dyDescent="0.2"/>
    <row r="285" s="117" customFormat="1" x14ac:dyDescent="0.2"/>
    <row r="286" s="117" customFormat="1" x14ac:dyDescent="0.2"/>
    <row r="287" s="117" customFormat="1" x14ac:dyDescent="0.2"/>
    <row r="288" s="117" customFormat="1" x14ac:dyDescent="0.2"/>
    <row r="289" s="117" customFormat="1" x14ac:dyDescent="0.2"/>
    <row r="290" s="117" customFormat="1" x14ac:dyDescent="0.2"/>
    <row r="291" s="117" customFormat="1" x14ac:dyDescent="0.2"/>
    <row r="292" s="117" customFormat="1" x14ac:dyDescent="0.2"/>
    <row r="293" s="117" customFormat="1" x14ac:dyDescent="0.2"/>
    <row r="294" s="117" customFormat="1" x14ac:dyDescent="0.2"/>
    <row r="295" s="117" customFormat="1" x14ac:dyDescent="0.2"/>
    <row r="296" s="117" customFormat="1" x14ac:dyDescent="0.2"/>
    <row r="297" s="117" customFormat="1" x14ac:dyDescent="0.2"/>
    <row r="298" s="117" customFormat="1" x14ac:dyDescent="0.2"/>
    <row r="299" s="117" customFormat="1" x14ac:dyDescent="0.2"/>
    <row r="300" s="117" customFormat="1" x14ac:dyDescent="0.2"/>
    <row r="301" s="117" customFormat="1" x14ac:dyDescent="0.2"/>
    <row r="302" s="117" customFormat="1" x14ac:dyDescent="0.2"/>
    <row r="303" s="117" customFormat="1" x14ac:dyDescent="0.2"/>
    <row r="304" s="117" customFormat="1" x14ac:dyDescent="0.2"/>
    <row r="305" s="117" customFormat="1" x14ac:dyDescent="0.2"/>
    <row r="306" s="117" customFormat="1" x14ac:dyDescent="0.2"/>
    <row r="307" s="117" customFormat="1" x14ac:dyDescent="0.2"/>
    <row r="308" s="117" customFormat="1" x14ac:dyDescent="0.2"/>
    <row r="309" s="117" customFormat="1" x14ac:dyDescent="0.2"/>
    <row r="310" s="117" customFormat="1" x14ac:dyDescent="0.2"/>
    <row r="311" s="117" customFormat="1" x14ac:dyDescent="0.2"/>
    <row r="312" s="117" customFormat="1" x14ac:dyDescent="0.2"/>
    <row r="313" s="117" customFormat="1" x14ac:dyDescent="0.2"/>
    <row r="314" s="117" customFormat="1" x14ac:dyDescent="0.2"/>
    <row r="315" s="117" customFormat="1" x14ac:dyDescent="0.2"/>
    <row r="316" s="117" customFormat="1" x14ac:dyDescent="0.2"/>
    <row r="317" s="117" customFormat="1" x14ac:dyDescent="0.2"/>
    <row r="318" s="117" customFormat="1" x14ac:dyDescent="0.2"/>
    <row r="319" s="117" customFormat="1" x14ac:dyDescent="0.2"/>
    <row r="320" s="117" customFormat="1" x14ac:dyDescent="0.2"/>
    <row r="321" s="117" customFormat="1" x14ac:dyDescent="0.2"/>
    <row r="322" s="117" customFormat="1" x14ac:dyDescent="0.2"/>
    <row r="323" s="117" customFormat="1" x14ac:dyDescent="0.2"/>
    <row r="324" s="117" customFormat="1" x14ac:dyDescent="0.2"/>
    <row r="325" s="117" customFormat="1" x14ac:dyDescent="0.2"/>
    <row r="326" s="117" customFormat="1" x14ac:dyDescent="0.2"/>
    <row r="327" s="117" customFormat="1" x14ac:dyDescent="0.2"/>
    <row r="328" s="117" customFormat="1" x14ac:dyDescent="0.2"/>
    <row r="329" s="117" customFormat="1" x14ac:dyDescent="0.2"/>
    <row r="330" s="117" customFormat="1" x14ac:dyDescent="0.2"/>
    <row r="331" s="117" customFormat="1" x14ac:dyDescent="0.2"/>
    <row r="332" s="117" customFormat="1" x14ac:dyDescent="0.2"/>
    <row r="333" s="117" customFormat="1" x14ac:dyDescent="0.2"/>
    <row r="334" s="117" customFormat="1" x14ac:dyDescent="0.2"/>
    <row r="335" s="117" customFormat="1" x14ac:dyDescent="0.2"/>
    <row r="336" s="117" customFormat="1" x14ac:dyDescent="0.2"/>
    <row r="337" s="117" customFormat="1" x14ac:dyDescent="0.2"/>
    <row r="338" s="117" customFormat="1" x14ac:dyDescent="0.2"/>
    <row r="339" s="117" customFormat="1" x14ac:dyDescent="0.2"/>
    <row r="340" s="117" customFormat="1" x14ac:dyDescent="0.2"/>
    <row r="341" s="117" customFormat="1" x14ac:dyDescent="0.2"/>
    <row r="342" s="117" customFormat="1" x14ac:dyDescent="0.2"/>
    <row r="343" s="117" customFormat="1" x14ac:dyDescent="0.2"/>
    <row r="344" s="117" customFormat="1" x14ac:dyDescent="0.2"/>
    <row r="345" s="117" customFormat="1" x14ac:dyDescent="0.2"/>
    <row r="346" s="117" customFormat="1" x14ac:dyDescent="0.2"/>
    <row r="347" s="117" customFormat="1" x14ac:dyDescent="0.2"/>
    <row r="348" s="117" customFormat="1" x14ac:dyDescent="0.2"/>
    <row r="349" s="117" customFormat="1" x14ac:dyDescent="0.2"/>
    <row r="350" s="117" customFormat="1" x14ac:dyDescent="0.2"/>
    <row r="351" s="117" customFormat="1" x14ac:dyDescent="0.2"/>
    <row r="352" s="117" customFormat="1" x14ac:dyDescent="0.2"/>
    <row r="353" s="117" customFormat="1" x14ac:dyDescent="0.2"/>
    <row r="354" s="117" customFormat="1" x14ac:dyDescent="0.2"/>
    <row r="355" s="117" customFormat="1" x14ac:dyDescent="0.2"/>
    <row r="356" s="117" customFormat="1" x14ac:dyDescent="0.2"/>
    <row r="357" s="117" customFormat="1" x14ac:dyDescent="0.2"/>
    <row r="358" s="117" customFormat="1" x14ac:dyDescent="0.2"/>
    <row r="359" s="117" customFormat="1" x14ac:dyDescent="0.2"/>
    <row r="360" s="117" customFormat="1" x14ac:dyDescent="0.2"/>
    <row r="361" s="117" customFormat="1" x14ac:dyDescent="0.2"/>
    <row r="362" s="117" customFormat="1" x14ac:dyDescent="0.2"/>
    <row r="363" s="117" customFormat="1" x14ac:dyDescent="0.2"/>
    <row r="364" s="117" customFormat="1" x14ac:dyDescent="0.2"/>
    <row r="365" s="117" customFormat="1" x14ac:dyDescent="0.2"/>
    <row r="366" s="117" customFormat="1" x14ac:dyDescent="0.2"/>
    <row r="367" s="117" customFormat="1" x14ac:dyDescent="0.2"/>
    <row r="368" s="117" customFormat="1" x14ac:dyDescent="0.2"/>
    <row r="369" s="117" customFormat="1" x14ac:dyDescent="0.2"/>
    <row r="370" s="117" customFormat="1" x14ac:dyDescent="0.2"/>
    <row r="371" s="117" customFormat="1" x14ac:dyDescent="0.2"/>
    <row r="372" s="117" customFormat="1" x14ac:dyDescent="0.2"/>
    <row r="373" s="117" customFormat="1" x14ac:dyDescent="0.2"/>
    <row r="374" s="117" customFormat="1" x14ac:dyDescent="0.2"/>
    <row r="375" s="117" customFormat="1" x14ac:dyDescent="0.2"/>
    <row r="376" s="117" customFormat="1" x14ac:dyDescent="0.2"/>
    <row r="377" s="117" customFormat="1" x14ac:dyDescent="0.2"/>
    <row r="378" s="117" customFormat="1" x14ac:dyDescent="0.2"/>
    <row r="379" s="117" customFormat="1" x14ac:dyDescent="0.2"/>
    <row r="380" s="117" customFormat="1" x14ac:dyDescent="0.2"/>
    <row r="381" s="117" customFormat="1" x14ac:dyDescent="0.2"/>
    <row r="382" s="117" customFormat="1" x14ac:dyDescent="0.2"/>
    <row r="383" s="117" customFormat="1" x14ac:dyDescent="0.2"/>
    <row r="384" s="117" customFormat="1" x14ac:dyDescent="0.2"/>
    <row r="385" s="117" customFormat="1" x14ac:dyDescent="0.2"/>
    <row r="386" s="117" customFormat="1" x14ac:dyDescent="0.2"/>
    <row r="387" s="117" customFormat="1" x14ac:dyDescent="0.2"/>
    <row r="388" s="117" customFormat="1" x14ac:dyDescent="0.2"/>
    <row r="389" s="117" customFormat="1" x14ac:dyDescent="0.2"/>
    <row r="390" s="117" customFormat="1" x14ac:dyDescent="0.2"/>
    <row r="391" s="117" customFormat="1" x14ac:dyDescent="0.2"/>
    <row r="392" s="117" customFormat="1" x14ac:dyDescent="0.2"/>
    <row r="393" s="117" customFormat="1" x14ac:dyDescent="0.2"/>
    <row r="394" s="117" customFormat="1" x14ac:dyDescent="0.2"/>
    <row r="395" s="117" customFormat="1" x14ac:dyDescent="0.2"/>
    <row r="396" s="117" customFormat="1" x14ac:dyDescent="0.2"/>
    <row r="397" s="117" customFormat="1" x14ac:dyDescent="0.2"/>
    <row r="398" s="117" customFormat="1" x14ac:dyDescent="0.2"/>
    <row r="399" s="117" customFormat="1" x14ac:dyDescent="0.2"/>
    <row r="400" s="117" customFormat="1" x14ac:dyDescent="0.2"/>
    <row r="401" s="117" customFormat="1" x14ac:dyDescent="0.2"/>
    <row r="402" s="117" customFormat="1" x14ac:dyDescent="0.2"/>
    <row r="403" s="117" customFormat="1" x14ac:dyDescent="0.2"/>
    <row r="404" s="117" customFormat="1" x14ac:dyDescent="0.2"/>
    <row r="405" s="117" customFormat="1" x14ac:dyDescent="0.2"/>
    <row r="406" s="117" customFormat="1" x14ac:dyDescent="0.2"/>
    <row r="407" s="117" customFormat="1" x14ac:dyDescent="0.2"/>
    <row r="408" s="117" customFormat="1" x14ac:dyDescent="0.2"/>
    <row r="409" s="117" customFormat="1" x14ac:dyDescent="0.2"/>
    <row r="410" s="117" customFormat="1" x14ac:dyDescent="0.2"/>
    <row r="411" s="117" customFormat="1" x14ac:dyDescent="0.2"/>
    <row r="412" s="117" customFormat="1" x14ac:dyDescent="0.2"/>
    <row r="413" s="117" customFormat="1" x14ac:dyDescent="0.2"/>
    <row r="414" s="117" customFormat="1" x14ac:dyDescent="0.2"/>
    <row r="415" s="117" customFormat="1" x14ac:dyDescent="0.2"/>
    <row r="416" s="117" customFormat="1" x14ac:dyDescent="0.2"/>
    <row r="417" s="117" customFormat="1" x14ac:dyDescent="0.2"/>
    <row r="418" s="117" customFormat="1" x14ac:dyDescent="0.2"/>
    <row r="419" s="117" customFormat="1" x14ac:dyDescent="0.2"/>
    <row r="420" s="117" customFormat="1" x14ac:dyDescent="0.2"/>
    <row r="421" s="117" customFormat="1" x14ac:dyDescent="0.2"/>
    <row r="422" s="117" customFormat="1" x14ac:dyDescent="0.2"/>
    <row r="423" s="117" customFormat="1" x14ac:dyDescent="0.2"/>
    <row r="424" s="117" customFormat="1" x14ac:dyDescent="0.2"/>
    <row r="425" s="117" customFormat="1" x14ac:dyDescent="0.2"/>
    <row r="426" s="117" customFormat="1" x14ac:dyDescent="0.2"/>
    <row r="427" s="117" customFormat="1" x14ac:dyDescent="0.2"/>
    <row r="428" s="117" customFormat="1" x14ac:dyDescent="0.2"/>
    <row r="429" s="117" customFormat="1" x14ac:dyDescent="0.2"/>
    <row r="430" s="117" customFormat="1" x14ac:dyDescent="0.2"/>
    <row r="431" s="117" customFormat="1" x14ac:dyDescent="0.2"/>
    <row r="432" s="117" customFormat="1" x14ac:dyDescent="0.2"/>
    <row r="433" s="117" customFormat="1" x14ac:dyDescent="0.2"/>
    <row r="434" s="117" customFormat="1" x14ac:dyDescent="0.2"/>
    <row r="435" s="117" customFormat="1" x14ac:dyDescent="0.2"/>
    <row r="436" s="117" customFormat="1" x14ac:dyDescent="0.2"/>
    <row r="437" s="117" customFormat="1" x14ac:dyDescent="0.2"/>
    <row r="438" s="117" customFormat="1" x14ac:dyDescent="0.2"/>
    <row r="439" s="117" customFormat="1" x14ac:dyDescent="0.2"/>
    <row r="440" s="117" customFormat="1" x14ac:dyDescent="0.2"/>
    <row r="441" s="117" customFormat="1" x14ac:dyDescent="0.2"/>
    <row r="442" s="117" customFormat="1" x14ac:dyDescent="0.2"/>
    <row r="443" s="117" customFormat="1" x14ac:dyDescent="0.2"/>
    <row r="444" s="117" customFormat="1" x14ac:dyDescent="0.2"/>
    <row r="445" s="117" customFormat="1" x14ac:dyDescent="0.2"/>
    <row r="446" s="117" customFormat="1" x14ac:dyDescent="0.2"/>
    <row r="447" s="117" customFormat="1" x14ac:dyDescent="0.2"/>
    <row r="448" s="117" customFormat="1" x14ac:dyDescent="0.2"/>
    <row r="449" s="117" customFormat="1" x14ac:dyDescent="0.2"/>
    <row r="450" s="117" customFormat="1" x14ac:dyDescent="0.2"/>
    <row r="451" s="117" customFormat="1" x14ac:dyDescent="0.2"/>
    <row r="452" s="117" customFormat="1" x14ac:dyDescent="0.2"/>
    <row r="453" s="117" customFormat="1" x14ac:dyDescent="0.2"/>
    <row r="454" s="117" customFormat="1" x14ac:dyDescent="0.2"/>
    <row r="455" s="117" customFormat="1" x14ac:dyDescent="0.2"/>
    <row r="456" s="117" customFormat="1" x14ac:dyDescent="0.2"/>
    <row r="457" s="117" customFormat="1" x14ac:dyDescent="0.2"/>
    <row r="458" s="117" customFormat="1" x14ac:dyDescent="0.2"/>
    <row r="459" s="117" customFormat="1" x14ac:dyDescent="0.2"/>
    <row r="460" s="117" customFormat="1" x14ac:dyDescent="0.2"/>
    <row r="461" s="117" customFormat="1" x14ac:dyDescent="0.2"/>
    <row r="462" s="117" customFormat="1" x14ac:dyDescent="0.2"/>
    <row r="463" s="117" customFormat="1" x14ac:dyDescent="0.2"/>
    <row r="464" s="117" customFormat="1" x14ac:dyDescent="0.2"/>
    <row r="465" s="117" customFormat="1" x14ac:dyDescent="0.2"/>
    <row r="466" s="117" customFormat="1" x14ac:dyDescent="0.2"/>
    <row r="467" s="117" customFormat="1" x14ac:dyDescent="0.2"/>
    <row r="468" s="117" customFormat="1" x14ac:dyDescent="0.2"/>
    <row r="469" s="117" customFormat="1" x14ac:dyDescent="0.2"/>
    <row r="470" s="117" customFormat="1" x14ac:dyDescent="0.2"/>
    <row r="471" s="117" customFormat="1" x14ac:dyDescent="0.2"/>
    <row r="472" s="117" customFormat="1" x14ac:dyDescent="0.2"/>
    <row r="473" s="117" customFormat="1" x14ac:dyDescent="0.2"/>
    <row r="474" s="117" customFormat="1" x14ac:dyDescent="0.2"/>
    <row r="475" s="117" customFormat="1" x14ac:dyDescent="0.2"/>
    <row r="476" s="117" customFormat="1" x14ac:dyDescent="0.2"/>
    <row r="477" s="117" customFormat="1" x14ac:dyDescent="0.2"/>
    <row r="478" s="117" customFormat="1" x14ac:dyDescent="0.2"/>
    <row r="479" s="117" customFormat="1" x14ac:dyDescent="0.2"/>
    <row r="480" s="117" customFormat="1" x14ac:dyDescent="0.2"/>
    <row r="481" s="117" customFormat="1" x14ac:dyDescent="0.2"/>
    <row r="482" s="117" customFormat="1" x14ac:dyDescent="0.2"/>
    <row r="483" s="117" customFormat="1" x14ac:dyDescent="0.2"/>
    <row r="484" s="117" customFormat="1" x14ac:dyDescent="0.2"/>
    <row r="485" s="117" customFormat="1" x14ac:dyDescent="0.2"/>
    <row r="486" s="117" customFormat="1" x14ac:dyDescent="0.2"/>
    <row r="487" s="117" customFormat="1" x14ac:dyDescent="0.2"/>
    <row r="488" s="117" customFormat="1" x14ac:dyDescent="0.2"/>
    <row r="489" s="117" customFormat="1" x14ac:dyDescent="0.2"/>
    <row r="490" s="117" customFormat="1" x14ac:dyDescent="0.2"/>
    <row r="491" s="117" customFormat="1" x14ac:dyDescent="0.2"/>
    <row r="492" s="117" customFormat="1" x14ac:dyDescent="0.2"/>
    <row r="493" s="117" customFormat="1" x14ac:dyDescent="0.2"/>
    <row r="494" s="117" customFormat="1" x14ac:dyDescent="0.2"/>
    <row r="495" s="117" customFormat="1" x14ac:dyDescent="0.2"/>
    <row r="496" s="117" customFormat="1" x14ac:dyDescent="0.2"/>
    <row r="497" s="117" customFormat="1" x14ac:dyDescent="0.2"/>
    <row r="498" s="117" customFormat="1" x14ac:dyDescent="0.2"/>
    <row r="499" s="117" customFormat="1" x14ac:dyDescent="0.2"/>
    <row r="500" s="117" customFormat="1" x14ac:dyDescent="0.2"/>
    <row r="501" s="117" customFormat="1" x14ac:dyDescent="0.2"/>
    <row r="502" s="117" customFormat="1" x14ac:dyDescent="0.2"/>
    <row r="503" s="117" customFormat="1" x14ac:dyDescent="0.2"/>
    <row r="504" s="117" customFormat="1" x14ac:dyDescent="0.2"/>
    <row r="505" s="117" customFormat="1" x14ac:dyDescent="0.2"/>
    <row r="506" s="117" customFormat="1" x14ac:dyDescent="0.2"/>
    <row r="507" s="117" customFormat="1" x14ac:dyDescent="0.2"/>
    <row r="508" s="117" customFormat="1" x14ac:dyDescent="0.2"/>
    <row r="509" s="117" customFormat="1" x14ac:dyDescent="0.2"/>
    <row r="510" s="117" customFormat="1" x14ac:dyDescent="0.2"/>
    <row r="511" s="117" customFormat="1" x14ac:dyDescent="0.2"/>
    <row r="512" s="117" customFormat="1" x14ac:dyDescent="0.2"/>
    <row r="513" s="117" customFormat="1" x14ac:dyDescent="0.2"/>
    <row r="514" s="117" customFormat="1" x14ac:dyDescent="0.2"/>
    <row r="515" s="117" customFormat="1" x14ac:dyDescent="0.2"/>
    <row r="516" s="117" customFormat="1" x14ac:dyDescent="0.2"/>
    <row r="517" s="117" customFormat="1" x14ac:dyDescent="0.2"/>
    <row r="518" s="117" customFormat="1" x14ac:dyDescent="0.2"/>
    <row r="519" s="117" customFormat="1" x14ac:dyDescent="0.2"/>
    <row r="520" s="117" customFormat="1" x14ac:dyDescent="0.2"/>
    <row r="521" s="117" customFormat="1" x14ac:dyDescent="0.2"/>
    <row r="522" s="117" customFormat="1" x14ac:dyDescent="0.2"/>
    <row r="523" s="117" customFormat="1" x14ac:dyDescent="0.2"/>
    <row r="524" s="117" customFormat="1" x14ac:dyDescent="0.2"/>
    <row r="525" s="117" customFormat="1" x14ac:dyDescent="0.2"/>
    <row r="526" s="117" customFormat="1" x14ac:dyDescent="0.2"/>
    <row r="527" s="117" customFormat="1" x14ac:dyDescent="0.2"/>
    <row r="528" s="117" customFormat="1" x14ac:dyDescent="0.2"/>
    <row r="529" s="117" customFormat="1" x14ac:dyDescent="0.2"/>
    <row r="530" s="117" customFormat="1" x14ac:dyDescent="0.2"/>
    <row r="531" s="117" customFormat="1" x14ac:dyDescent="0.2"/>
    <row r="532" s="117" customFormat="1" x14ac:dyDescent="0.2"/>
    <row r="533" s="117" customFormat="1" x14ac:dyDescent="0.2"/>
    <row r="534" s="117" customFormat="1" x14ac:dyDescent="0.2"/>
    <row r="535" s="117" customFormat="1" x14ac:dyDescent="0.2"/>
    <row r="536" s="117" customFormat="1" x14ac:dyDescent="0.2"/>
    <row r="537" s="117" customFormat="1" x14ac:dyDescent="0.2"/>
    <row r="538" s="117" customFormat="1" x14ac:dyDescent="0.2"/>
    <row r="539" s="117" customFormat="1" x14ac:dyDescent="0.2"/>
    <row r="540" s="117" customFormat="1" x14ac:dyDescent="0.2"/>
    <row r="541" s="117" customFormat="1" x14ac:dyDescent="0.2"/>
    <row r="542" s="117" customFormat="1" x14ac:dyDescent="0.2"/>
    <row r="543" s="117" customFormat="1" x14ac:dyDescent="0.2"/>
    <row r="544" s="117" customFormat="1" x14ac:dyDescent="0.2"/>
    <row r="545" s="117" customFormat="1" x14ac:dyDescent="0.2"/>
    <row r="546" s="117" customFormat="1" x14ac:dyDescent="0.2"/>
    <row r="547" s="117" customFormat="1" x14ac:dyDescent="0.2"/>
    <row r="548" s="117" customFormat="1" x14ac:dyDescent="0.2"/>
    <row r="549" s="117" customFormat="1" x14ac:dyDescent="0.2"/>
    <row r="550" s="117" customFormat="1" x14ac:dyDescent="0.2"/>
    <row r="551" s="117" customFormat="1" x14ac:dyDescent="0.2"/>
    <row r="552" s="117" customFormat="1" x14ac:dyDescent="0.2"/>
    <row r="553" s="117" customFormat="1" x14ac:dyDescent="0.2"/>
    <row r="554" s="117" customFormat="1" x14ac:dyDescent="0.2"/>
    <row r="555" s="117" customFormat="1" x14ac:dyDescent="0.2"/>
    <row r="556" s="117" customFormat="1" x14ac:dyDescent="0.2"/>
    <row r="557" s="117" customFormat="1" x14ac:dyDescent="0.2"/>
    <row r="558" s="117" customFormat="1" x14ac:dyDescent="0.2"/>
    <row r="559" s="117" customFormat="1" x14ac:dyDescent="0.2"/>
    <row r="560" s="117" customFormat="1" x14ac:dyDescent="0.2"/>
    <row r="561" s="117" customFormat="1" x14ac:dyDescent="0.2"/>
    <row r="562" s="117" customFormat="1" x14ac:dyDescent="0.2"/>
    <row r="563" s="117" customFormat="1" x14ac:dyDescent="0.2"/>
    <row r="564" s="117" customFormat="1" x14ac:dyDescent="0.2"/>
    <row r="565" s="117" customFormat="1" x14ac:dyDescent="0.2"/>
    <row r="566" s="117" customFormat="1" x14ac:dyDescent="0.2"/>
    <row r="567" s="117" customFormat="1" x14ac:dyDescent="0.2"/>
    <row r="568" s="117" customFormat="1" x14ac:dyDescent="0.2"/>
    <row r="569" s="117" customFormat="1" x14ac:dyDescent="0.2"/>
    <row r="570" s="117" customFormat="1" x14ac:dyDescent="0.2"/>
    <row r="571" s="117" customFormat="1" x14ac:dyDescent="0.2"/>
    <row r="572" s="117" customFormat="1" x14ac:dyDescent="0.2"/>
    <row r="573" s="117" customFormat="1" x14ac:dyDescent="0.2"/>
    <row r="574" s="117" customFormat="1" x14ac:dyDescent="0.2"/>
    <row r="575" s="117" customFormat="1" x14ac:dyDescent="0.2"/>
    <row r="576" s="117" customFormat="1" x14ac:dyDescent="0.2"/>
    <row r="577" s="117" customFormat="1" x14ac:dyDescent="0.2"/>
    <row r="578" s="117" customFormat="1" x14ac:dyDescent="0.2"/>
    <row r="579" s="117" customFormat="1" x14ac:dyDescent="0.2"/>
    <row r="580" s="117" customFormat="1" x14ac:dyDescent="0.2"/>
    <row r="581" s="117" customFormat="1" x14ac:dyDescent="0.2"/>
    <row r="582" s="117" customFormat="1" x14ac:dyDescent="0.2"/>
    <row r="583" s="117" customFormat="1" x14ac:dyDescent="0.2"/>
    <row r="584" s="117" customFormat="1" x14ac:dyDescent="0.2"/>
    <row r="585" s="117" customFormat="1" x14ac:dyDescent="0.2"/>
    <row r="586" s="117" customFormat="1" x14ac:dyDescent="0.2"/>
    <row r="587" s="117" customFormat="1" x14ac:dyDescent="0.2"/>
    <row r="588" s="117" customFormat="1" x14ac:dyDescent="0.2"/>
    <row r="589" s="117" customFormat="1" x14ac:dyDescent="0.2"/>
    <row r="590" s="117" customFormat="1" x14ac:dyDescent="0.2"/>
    <row r="591" s="117" customFormat="1" x14ac:dyDescent="0.2"/>
    <row r="592" s="117" customFormat="1" x14ac:dyDescent="0.2"/>
    <row r="593" s="117" customFormat="1" x14ac:dyDescent="0.2"/>
    <row r="594" s="117" customFormat="1" x14ac:dyDescent="0.2"/>
    <row r="595" s="117" customFormat="1" x14ac:dyDescent="0.2"/>
    <row r="596" s="117" customFormat="1" x14ac:dyDescent="0.2"/>
    <row r="597" s="117" customFormat="1" x14ac:dyDescent="0.2"/>
    <row r="598" s="117" customFormat="1" x14ac:dyDescent="0.2"/>
    <row r="599" s="117" customFormat="1" x14ac:dyDescent="0.2"/>
    <row r="600" s="117" customFormat="1" x14ac:dyDescent="0.2"/>
    <row r="601" s="117" customFormat="1" x14ac:dyDescent="0.2"/>
    <row r="602" s="117" customFormat="1" x14ac:dyDescent="0.2"/>
    <row r="603" s="117" customFormat="1" x14ac:dyDescent="0.2"/>
    <row r="604" s="117" customFormat="1" x14ac:dyDescent="0.2"/>
    <row r="605" s="117" customFormat="1" x14ac:dyDescent="0.2"/>
    <row r="606" s="117" customFormat="1" x14ac:dyDescent="0.2"/>
    <row r="607" s="117" customFormat="1" x14ac:dyDescent="0.2"/>
    <row r="608" s="117" customFormat="1" x14ac:dyDescent="0.2"/>
    <row r="609" s="117" customFormat="1" x14ac:dyDescent="0.2"/>
    <row r="610" s="117" customFormat="1" x14ac:dyDescent="0.2"/>
    <row r="611" s="117" customFormat="1" x14ac:dyDescent="0.2"/>
    <row r="612" s="117" customFormat="1" x14ac:dyDescent="0.2"/>
    <row r="613" s="117" customFormat="1" x14ac:dyDescent="0.2"/>
    <row r="614" s="117" customFormat="1" x14ac:dyDescent="0.2"/>
    <row r="615" s="117" customFormat="1" x14ac:dyDescent="0.2"/>
    <row r="616" s="117" customFormat="1" x14ac:dyDescent="0.2"/>
    <row r="617" s="117" customFormat="1" x14ac:dyDescent="0.2"/>
    <row r="618" s="117" customFormat="1" x14ac:dyDescent="0.2"/>
    <row r="619" s="117" customFormat="1" x14ac:dyDescent="0.2"/>
    <row r="620" s="117" customFormat="1" x14ac:dyDescent="0.2"/>
    <row r="621" s="117" customFormat="1" x14ac:dyDescent="0.2"/>
    <row r="622" s="117" customFormat="1" x14ac:dyDescent="0.2"/>
    <row r="623" s="117" customFormat="1" x14ac:dyDescent="0.2"/>
    <row r="624" s="117" customFormat="1" x14ac:dyDescent="0.2"/>
    <row r="625" s="117" customFormat="1" x14ac:dyDescent="0.2"/>
    <row r="626" s="117" customFormat="1" x14ac:dyDescent="0.2"/>
    <row r="627" s="117" customFormat="1" x14ac:dyDescent="0.2"/>
    <row r="628" s="117" customFormat="1" x14ac:dyDescent="0.2"/>
    <row r="629" s="117" customFormat="1" x14ac:dyDescent="0.2"/>
    <row r="630" s="117" customFormat="1" x14ac:dyDescent="0.2"/>
    <row r="631" s="117" customFormat="1" x14ac:dyDescent="0.2"/>
    <row r="632" s="117" customFormat="1" x14ac:dyDescent="0.2"/>
    <row r="633" s="117" customFormat="1" x14ac:dyDescent="0.2"/>
    <row r="634" s="117" customFormat="1" x14ac:dyDescent="0.2"/>
    <row r="635" s="117" customFormat="1" x14ac:dyDescent="0.2"/>
    <row r="636" s="117" customFormat="1" x14ac:dyDescent="0.2"/>
    <row r="637" s="117" customFormat="1" x14ac:dyDescent="0.2"/>
    <row r="638" s="117" customFormat="1" x14ac:dyDescent="0.2"/>
    <row r="639" s="117" customFormat="1" x14ac:dyDescent="0.2"/>
    <row r="640" s="117" customFormat="1" x14ac:dyDescent="0.2"/>
    <row r="641" s="117" customFormat="1" x14ac:dyDescent="0.2"/>
    <row r="642" s="117" customFormat="1" x14ac:dyDescent="0.2"/>
    <row r="643" s="117" customFormat="1" x14ac:dyDescent="0.2"/>
    <row r="644" s="117" customFormat="1" x14ac:dyDescent="0.2"/>
    <row r="645" s="117" customFormat="1" x14ac:dyDescent="0.2"/>
    <row r="646" s="117" customFormat="1" x14ac:dyDescent="0.2"/>
    <row r="647" s="117" customFormat="1" x14ac:dyDescent="0.2"/>
    <row r="648" s="117" customFormat="1" x14ac:dyDescent="0.2"/>
    <row r="649" s="117" customFormat="1" x14ac:dyDescent="0.2"/>
    <row r="650" s="117" customFormat="1" x14ac:dyDescent="0.2"/>
    <row r="651" s="117" customFormat="1" x14ac:dyDescent="0.2"/>
    <row r="652" s="117" customFormat="1" x14ac:dyDescent="0.2"/>
    <row r="653" s="117" customFormat="1" x14ac:dyDescent="0.2"/>
    <row r="654" s="117" customFormat="1" x14ac:dyDescent="0.2"/>
    <row r="655" s="117" customFormat="1" x14ac:dyDescent="0.2"/>
    <row r="656" s="117" customFormat="1" x14ac:dyDescent="0.2"/>
    <row r="657" s="117" customFormat="1" x14ac:dyDescent="0.2"/>
    <row r="658" s="117" customFormat="1" x14ac:dyDescent="0.2"/>
    <row r="659" s="117" customFormat="1" x14ac:dyDescent="0.2"/>
    <row r="660" s="117" customFormat="1" x14ac:dyDescent="0.2"/>
    <row r="661" s="117" customFormat="1" x14ac:dyDescent="0.2"/>
    <row r="662" s="117" customFormat="1" x14ac:dyDescent="0.2"/>
    <row r="663" s="117" customFormat="1" x14ac:dyDescent="0.2"/>
    <row r="664" s="117" customFormat="1" x14ac:dyDescent="0.2"/>
    <row r="665" s="117" customFormat="1" x14ac:dyDescent="0.2"/>
    <row r="666" s="117" customFormat="1" x14ac:dyDescent="0.2"/>
    <row r="667" s="117" customFormat="1" x14ac:dyDescent="0.2"/>
    <row r="668" s="117" customFormat="1" x14ac:dyDescent="0.2"/>
    <row r="669" s="117" customFormat="1" x14ac:dyDescent="0.2"/>
    <row r="670" s="117" customFormat="1" x14ac:dyDescent="0.2"/>
    <row r="671" s="117" customFormat="1" x14ac:dyDescent="0.2"/>
    <row r="672" s="117" customFormat="1" x14ac:dyDescent="0.2"/>
    <row r="673" s="117" customFormat="1" x14ac:dyDescent="0.2"/>
    <row r="674" s="117" customFormat="1" x14ac:dyDescent="0.2"/>
    <row r="675" s="117" customFormat="1" x14ac:dyDescent="0.2"/>
    <row r="676" s="117" customFormat="1" x14ac:dyDescent="0.2"/>
    <row r="677" s="117" customFormat="1" x14ac:dyDescent="0.2"/>
    <row r="678" s="117" customFormat="1" x14ac:dyDescent="0.2"/>
    <row r="679" s="117" customFormat="1" x14ac:dyDescent="0.2"/>
    <row r="680" s="117" customFormat="1" x14ac:dyDescent="0.2"/>
    <row r="681" s="117" customFormat="1" x14ac:dyDescent="0.2"/>
    <row r="682" s="117" customFormat="1" x14ac:dyDescent="0.2"/>
    <row r="683" s="117" customFormat="1" x14ac:dyDescent="0.2"/>
    <row r="684" s="117" customFormat="1" x14ac:dyDescent="0.2"/>
    <row r="685" s="117" customFormat="1" x14ac:dyDescent="0.2"/>
    <row r="686" s="117" customFormat="1" x14ac:dyDescent="0.2"/>
    <row r="687" s="117" customFormat="1" x14ac:dyDescent="0.2"/>
    <row r="688" s="117" customFormat="1" x14ac:dyDescent="0.2"/>
    <row r="689" s="117" customFormat="1" x14ac:dyDescent="0.2"/>
    <row r="690" s="117" customFormat="1" x14ac:dyDescent="0.2"/>
    <row r="691" s="117" customFormat="1" x14ac:dyDescent="0.2"/>
    <row r="692" s="117" customFormat="1" x14ac:dyDescent="0.2"/>
    <row r="693" s="117" customFormat="1" x14ac:dyDescent="0.2"/>
    <row r="694" s="117" customFormat="1" x14ac:dyDescent="0.2"/>
    <row r="695" s="117" customFormat="1" x14ac:dyDescent="0.2"/>
    <row r="696" s="117" customFormat="1" x14ac:dyDescent="0.2"/>
    <row r="697" s="117" customFormat="1" x14ac:dyDescent="0.2"/>
    <row r="698" s="117" customFormat="1" x14ac:dyDescent="0.2"/>
    <row r="699" s="117" customFormat="1" x14ac:dyDescent="0.2"/>
    <row r="700" s="117" customFormat="1" x14ac:dyDescent="0.2"/>
    <row r="701" s="117" customFormat="1" x14ac:dyDescent="0.2"/>
    <row r="702" s="117" customFormat="1" x14ac:dyDescent="0.2"/>
    <row r="703" s="117" customFormat="1" x14ac:dyDescent="0.2"/>
    <row r="704" s="117" customFormat="1" x14ac:dyDescent="0.2"/>
    <row r="705" s="117" customFormat="1" x14ac:dyDescent="0.2"/>
    <row r="706" s="117" customFormat="1" x14ac:dyDescent="0.2"/>
    <row r="707" s="117" customFormat="1" x14ac:dyDescent="0.2"/>
    <row r="708" s="117" customFormat="1" x14ac:dyDescent="0.2"/>
    <row r="709" s="117" customFormat="1" x14ac:dyDescent="0.2"/>
    <row r="710" s="117" customFormat="1" x14ac:dyDescent="0.2"/>
    <row r="711" s="117" customFormat="1" x14ac:dyDescent="0.2"/>
    <row r="712" s="117" customFormat="1" x14ac:dyDescent="0.2"/>
    <row r="713" s="117" customFormat="1" x14ac:dyDescent="0.2"/>
    <row r="714" s="117" customFormat="1" x14ac:dyDescent="0.2"/>
    <row r="715" s="117" customFormat="1" x14ac:dyDescent="0.2"/>
    <row r="716" s="117" customFormat="1" x14ac:dyDescent="0.2"/>
    <row r="717" s="117" customFormat="1" x14ac:dyDescent="0.2"/>
    <row r="718" s="117" customFormat="1" x14ac:dyDescent="0.2"/>
    <row r="719" s="117" customFormat="1" x14ac:dyDescent="0.2"/>
    <row r="720" s="117" customFormat="1" x14ac:dyDescent="0.2"/>
    <row r="721" s="117" customFormat="1" x14ac:dyDescent="0.2"/>
    <row r="722" s="117" customFormat="1" x14ac:dyDescent="0.2"/>
    <row r="723" s="117" customFormat="1" x14ac:dyDescent="0.2"/>
    <row r="724" s="117" customFormat="1" x14ac:dyDescent="0.2"/>
    <row r="725" s="117" customFormat="1" x14ac:dyDescent="0.2"/>
    <row r="726" s="117" customFormat="1" x14ac:dyDescent="0.2"/>
    <row r="727" s="117" customFormat="1" x14ac:dyDescent="0.2"/>
    <row r="728" s="117" customFormat="1" x14ac:dyDescent="0.2"/>
    <row r="729" s="117" customFormat="1" x14ac:dyDescent="0.2"/>
    <row r="730" s="117" customFormat="1" x14ac:dyDescent="0.2"/>
    <row r="731" s="117" customFormat="1" x14ac:dyDescent="0.2"/>
    <row r="732" s="117" customFormat="1" x14ac:dyDescent="0.2"/>
    <row r="733" s="117" customFormat="1" x14ac:dyDescent="0.2"/>
    <row r="734" s="117" customFormat="1" x14ac:dyDescent="0.2"/>
    <row r="735" s="117" customFormat="1" x14ac:dyDescent="0.2"/>
    <row r="736" s="117" customFormat="1" x14ac:dyDescent="0.2"/>
    <row r="737" s="117" customFormat="1" x14ac:dyDescent="0.2"/>
    <row r="738" s="117" customFormat="1" x14ac:dyDescent="0.2"/>
    <row r="739" s="117" customFormat="1" x14ac:dyDescent="0.2"/>
    <row r="740" s="117" customFormat="1" x14ac:dyDescent="0.2"/>
    <row r="741" s="117" customFormat="1" x14ac:dyDescent="0.2"/>
    <row r="742" s="117" customFormat="1" x14ac:dyDescent="0.2"/>
    <row r="743" s="117" customFormat="1" x14ac:dyDescent="0.2"/>
    <row r="744" s="117" customFormat="1" x14ac:dyDescent="0.2"/>
    <row r="745" s="117" customFormat="1" x14ac:dyDescent="0.2"/>
    <row r="746" s="117" customFormat="1" x14ac:dyDescent="0.2"/>
    <row r="747" s="117" customFormat="1" x14ac:dyDescent="0.2"/>
    <row r="748" s="117" customFormat="1" x14ac:dyDescent="0.2"/>
    <row r="749" s="117" customFormat="1" x14ac:dyDescent="0.2"/>
    <row r="750" s="117" customFormat="1" x14ac:dyDescent="0.2"/>
    <row r="751" s="117" customFormat="1" x14ac:dyDescent="0.2"/>
    <row r="752" s="117" customFormat="1" x14ac:dyDescent="0.2"/>
    <row r="753" s="117" customFormat="1" x14ac:dyDescent="0.2"/>
    <row r="754" s="117" customFormat="1" x14ac:dyDescent="0.2"/>
    <row r="755" s="117" customFormat="1" x14ac:dyDescent="0.2"/>
    <row r="756" s="117" customFormat="1" x14ac:dyDescent="0.2"/>
    <row r="757" s="117" customFormat="1" x14ac:dyDescent="0.2"/>
    <row r="758" s="117" customFormat="1" x14ac:dyDescent="0.2"/>
    <row r="759" s="117" customFormat="1" x14ac:dyDescent="0.2"/>
    <row r="760" s="117" customFormat="1" x14ac:dyDescent="0.2"/>
    <row r="761" s="117" customFormat="1" x14ac:dyDescent="0.2"/>
    <row r="762" s="117" customFormat="1" x14ac:dyDescent="0.2"/>
    <row r="763" s="117" customFormat="1" x14ac:dyDescent="0.2"/>
    <row r="764" s="117" customFormat="1" x14ac:dyDescent="0.2"/>
    <row r="765" s="117" customFormat="1" x14ac:dyDescent="0.2"/>
    <row r="766" s="117" customFormat="1" x14ac:dyDescent="0.2"/>
    <row r="767" s="117" customFormat="1" x14ac:dyDescent="0.2"/>
    <row r="768" s="117" customFormat="1" x14ac:dyDescent="0.2"/>
    <row r="769" s="117" customFormat="1" x14ac:dyDescent="0.2"/>
    <row r="770" s="117" customFormat="1" x14ac:dyDescent="0.2"/>
    <row r="771" s="117" customFormat="1" x14ac:dyDescent="0.2"/>
    <row r="772" s="117" customFormat="1" x14ac:dyDescent="0.2"/>
    <row r="773" s="117" customFormat="1" x14ac:dyDescent="0.2"/>
    <row r="774" s="117" customFormat="1" x14ac:dyDescent="0.2"/>
    <row r="775" s="117" customFormat="1" x14ac:dyDescent="0.2"/>
    <row r="776" s="117" customFormat="1" x14ac:dyDescent="0.2"/>
    <row r="777" s="117" customFormat="1" x14ac:dyDescent="0.2"/>
    <row r="778" s="117" customFormat="1" x14ac:dyDescent="0.2"/>
    <row r="779" s="117" customFormat="1" x14ac:dyDescent="0.2"/>
    <row r="780" s="117" customFormat="1" x14ac:dyDescent="0.2"/>
    <row r="781" s="117" customFormat="1" x14ac:dyDescent="0.2"/>
    <row r="782" s="117" customFormat="1" x14ac:dyDescent="0.2"/>
    <row r="783" s="117" customFormat="1" x14ac:dyDescent="0.2"/>
    <row r="784" s="117" customFormat="1" x14ac:dyDescent="0.2"/>
    <row r="785" s="117" customFormat="1" x14ac:dyDescent="0.2"/>
    <row r="786" s="117" customFormat="1" x14ac:dyDescent="0.2"/>
    <row r="787" s="117" customFormat="1" x14ac:dyDescent="0.2"/>
    <row r="788" s="117" customFormat="1" x14ac:dyDescent="0.2"/>
    <row r="789" s="117" customFormat="1" x14ac:dyDescent="0.2"/>
    <row r="790" s="117" customFormat="1" x14ac:dyDescent="0.2"/>
    <row r="791" s="117" customFormat="1" x14ac:dyDescent="0.2"/>
    <row r="792" s="117" customFormat="1" x14ac:dyDescent="0.2"/>
    <row r="793" s="117" customFormat="1" x14ac:dyDescent="0.2"/>
    <row r="794" s="117" customFormat="1" x14ac:dyDescent="0.2"/>
    <row r="795" s="117" customFormat="1" x14ac:dyDescent="0.2"/>
    <row r="796" s="117" customFormat="1" x14ac:dyDescent="0.2"/>
    <row r="797" s="117" customFormat="1" x14ac:dyDescent="0.2"/>
    <row r="798" s="117" customFormat="1" x14ac:dyDescent="0.2"/>
    <row r="799" s="117" customFormat="1" x14ac:dyDescent="0.2"/>
    <row r="800" s="117" customFormat="1" x14ac:dyDescent="0.2"/>
    <row r="801" s="117" customFormat="1" x14ac:dyDescent="0.2"/>
    <row r="802" s="117" customFormat="1" x14ac:dyDescent="0.2"/>
    <row r="803" s="117" customFormat="1" x14ac:dyDescent="0.2"/>
    <row r="804" s="117" customFormat="1" x14ac:dyDescent="0.2"/>
    <row r="805" s="117" customFormat="1" x14ac:dyDescent="0.2"/>
    <row r="806" s="117" customFormat="1" x14ac:dyDescent="0.2"/>
    <row r="807" s="117" customFormat="1" x14ac:dyDescent="0.2"/>
    <row r="808" s="117" customFormat="1" x14ac:dyDescent="0.2"/>
    <row r="809" s="117" customFormat="1" x14ac:dyDescent="0.2"/>
    <row r="810" s="117" customFormat="1" x14ac:dyDescent="0.2"/>
    <row r="811" s="117" customFormat="1" x14ac:dyDescent="0.2"/>
    <row r="812" s="117" customFormat="1" x14ac:dyDescent="0.2"/>
    <row r="813" s="117" customFormat="1" x14ac:dyDescent="0.2"/>
    <row r="814" s="117" customFormat="1" x14ac:dyDescent="0.2"/>
    <row r="815" s="117" customFormat="1" x14ac:dyDescent="0.2"/>
    <row r="816" s="117" customFormat="1" x14ac:dyDescent="0.2"/>
    <row r="817" s="117" customFormat="1" x14ac:dyDescent="0.2"/>
    <row r="818" s="117" customFormat="1" x14ac:dyDescent="0.2"/>
    <row r="819" s="117" customFormat="1" x14ac:dyDescent="0.2"/>
    <row r="820" s="117" customFormat="1" x14ac:dyDescent="0.2"/>
    <row r="821" s="117" customFormat="1" x14ac:dyDescent="0.2"/>
    <row r="822" s="117" customFormat="1" x14ac:dyDescent="0.2"/>
    <row r="823" s="117" customFormat="1" x14ac:dyDescent="0.2"/>
    <row r="824" s="117" customFormat="1" x14ac:dyDescent="0.2"/>
    <row r="825" s="117" customFormat="1" x14ac:dyDescent="0.2"/>
    <row r="826" s="117" customFormat="1" x14ac:dyDescent="0.2"/>
    <row r="827" s="117" customFormat="1" x14ac:dyDescent="0.2"/>
    <row r="828" s="117" customFormat="1" x14ac:dyDescent="0.2"/>
    <row r="829" s="117" customFormat="1" x14ac:dyDescent="0.2"/>
    <row r="830" s="117" customFormat="1" x14ac:dyDescent="0.2"/>
    <row r="831" s="117" customFormat="1" x14ac:dyDescent="0.2"/>
    <row r="832" s="117" customFormat="1" x14ac:dyDescent="0.2"/>
    <row r="833" s="117" customFormat="1" x14ac:dyDescent="0.2"/>
    <row r="834" s="117" customFormat="1" x14ac:dyDescent="0.2"/>
    <row r="835" s="117" customFormat="1" x14ac:dyDescent="0.2"/>
    <row r="836" s="117" customFormat="1" x14ac:dyDescent="0.2"/>
    <row r="837" s="117" customFormat="1" x14ac:dyDescent="0.2"/>
    <row r="838" s="117" customFormat="1" x14ac:dyDescent="0.2"/>
    <row r="839" s="117" customFormat="1" x14ac:dyDescent="0.2"/>
    <row r="840" s="117" customFormat="1" x14ac:dyDescent="0.2"/>
    <row r="841" s="117" customFormat="1" x14ac:dyDescent="0.2"/>
    <row r="842" s="117" customFormat="1" x14ac:dyDescent="0.2"/>
    <row r="843" s="117" customFormat="1" x14ac:dyDescent="0.2"/>
    <row r="844" s="117" customFormat="1" x14ac:dyDescent="0.2"/>
    <row r="845" s="117" customFormat="1" x14ac:dyDescent="0.2"/>
    <row r="846" s="117" customFormat="1" x14ac:dyDescent="0.2"/>
    <row r="847" s="117" customFormat="1" x14ac:dyDescent="0.2"/>
    <row r="848" s="117" customFormat="1" x14ac:dyDescent="0.2"/>
    <row r="849" s="117" customFormat="1" x14ac:dyDescent="0.2"/>
    <row r="850" s="117" customFormat="1" x14ac:dyDescent="0.2"/>
    <row r="851" s="117" customFormat="1" x14ac:dyDescent="0.2"/>
    <row r="852" s="117" customFormat="1" x14ac:dyDescent="0.2"/>
    <row r="853" s="117" customFormat="1" x14ac:dyDescent="0.2"/>
    <row r="854" s="117" customFormat="1" x14ac:dyDescent="0.2"/>
    <row r="855" s="117" customFormat="1" x14ac:dyDescent="0.2"/>
    <row r="856" s="117" customFormat="1" x14ac:dyDescent="0.2"/>
    <row r="857" s="117" customFormat="1" x14ac:dyDescent="0.2"/>
    <row r="858" s="117" customFormat="1" x14ac:dyDescent="0.2"/>
    <row r="859" s="117" customFormat="1" x14ac:dyDescent="0.2"/>
    <row r="860" s="117" customFormat="1" x14ac:dyDescent="0.2"/>
    <row r="861" s="117" customFormat="1" x14ac:dyDescent="0.2"/>
    <row r="862" s="117" customFormat="1" x14ac:dyDescent="0.2"/>
    <row r="863" s="117" customFormat="1" x14ac:dyDescent="0.2"/>
    <row r="864" s="117" customFormat="1" x14ac:dyDescent="0.2"/>
    <row r="865" s="117" customFormat="1" x14ac:dyDescent="0.2"/>
    <row r="866" s="117" customFormat="1" x14ac:dyDescent="0.2"/>
    <row r="867" s="117" customFormat="1" x14ac:dyDescent="0.2"/>
    <row r="868" s="117" customFormat="1" x14ac:dyDescent="0.2"/>
    <row r="869" s="117" customFormat="1" x14ac:dyDescent="0.2"/>
    <row r="870" s="117" customFormat="1" x14ac:dyDescent="0.2"/>
    <row r="871" s="117" customFormat="1" x14ac:dyDescent="0.2"/>
    <row r="872" s="117" customFormat="1" x14ac:dyDescent="0.2"/>
    <row r="873" s="117" customFormat="1" x14ac:dyDescent="0.2"/>
    <row r="874" s="117" customFormat="1" x14ac:dyDescent="0.2"/>
    <row r="875" s="117" customFormat="1" x14ac:dyDescent="0.2"/>
    <row r="876" s="117" customFormat="1" x14ac:dyDescent="0.2"/>
    <row r="877" s="117" customFormat="1" x14ac:dyDescent="0.2"/>
    <row r="878" s="117" customFormat="1" x14ac:dyDescent="0.2"/>
    <row r="879" s="117" customFormat="1" x14ac:dyDescent="0.2"/>
    <row r="880" s="117" customFormat="1" x14ac:dyDescent="0.2"/>
    <row r="881" s="117" customFormat="1" x14ac:dyDescent="0.2"/>
    <row r="882" s="117" customFormat="1" x14ac:dyDescent="0.2"/>
    <row r="883" s="117" customFormat="1" x14ac:dyDescent="0.2"/>
    <row r="884" s="117" customFormat="1" x14ac:dyDescent="0.2"/>
    <row r="885" s="117" customFormat="1" x14ac:dyDescent="0.2"/>
    <row r="886" s="117" customFormat="1" x14ac:dyDescent="0.2"/>
    <row r="887" s="117" customFormat="1" x14ac:dyDescent="0.2"/>
    <row r="888" s="117" customFormat="1" x14ac:dyDescent="0.2"/>
    <row r="889" s="117" customFormat="1" x14ac:dyDescent="0.2"/>
    <row r="890" s="117" customFormat="1" x14ac:dyDescent="0.2"/>
    <row r="891" s="117" customFormat="1" x14ac:dyDescent="0.2"/>
    <row r="892" s="117" customFormat="1" x14ac:dyDescent="0.2"/>
    <row r="893" s="117" customFormat="1" x14ac:dyDescent="0.2"/>
    <row r="894" s="117" customFormat="1" x14ac:dyDescent="0.2"/>
    <row r="895" s="117" customFormat="1" x14ac:dyDescent="0.2"/>
    <row r="896" s="117" customFormat="1" x14ac:dyDescent="0.2"/>
    <row r="897" s="117" customFormat="1" x14ac:dyDescent="0.2"/>
    <row r="898" s="117" customFormat="1" x14ac:dyDescent="0.2"/>
    <row r="899" s="117" customFormat="1" x14ac:dyDescent="0.2"/>
    <row r="900" s="117" customFormat="1" x14ac:dyDescent="0.2"/>
    <row r="901" s="117" customFormat="1" x14ac:dyDescent="0.2"/>
    <row r="902" s="117" customFormat="1" x14ac:dyDescent="0.2"/>
    <row r="903" s="117" customFormat="1" x14ac:dyDescent="0.2"/>
    <row r="904" s="117" customFormat="1" x14ac:dyDescent="0.2"/>
    <row r="905" s="117" customFormat="1" x14ac:dyDescent="0.2"/>
    <row r="906" s="117" customFormat="1" x14ac:dyDescent="0.2"/>
    <row r="907" s="117" customFormat="1" x14ac:dyDescent="0.2"/>
    <row r="908" s="117" customFormat="1" x14ac:dyDescent="0.2"/>
    <row r="909" s="117" customFormat="1" x14ac:dyDescent="0.2"/>
    <row r="910" s="117" customFormat="1" x14ac:dyDescent="0.2"/>
    <row r="911" s="117" customFormat="1" x14ac:dyDescent="0.2"/>
    <row r="912" s="117" customFormat="1" x14ac:dyDescent="0.2"/>
    <row r="913" s="117" customFormat="1" x14ac:dyDescent="0.2"/>
    <row r="914" s="117" customFormat="1" x14ac:dyDescent="0.2"/>
    <row r="915" s="117" customFormat="1" x14ac:dyDescent="0.2"/>
    <row r="916" s="117" customFormat="1" x14ac:dyDescent="0.2"/>
    <row r="917" s="117" customFormat="1" x14ac:dyDescent="0.2"/>
    <row r="918" s="117" customFormat="1" x14ac:dyDescent="0.2"/>
    <row r="919" s="117" customFormat="1" x14ac:dyDescent="0.2"/>
    <row r="920" s="117" customFormat="1" x14ac:dyDescent="0.2"/>
    <row r="921" s="117" customFormat="1" x14ac:dyDescent="0.2"/>
    <row r="922" s="117" customFormat="1" x14ac:dyDescent="0.2"/>
    <row r="923" s="117" customFormat="1" x14ac:dyDescent="0.2"/>
    <row r="924" s="117" customFormat="1" x14ac:dyDescent="0.2"/>
    <row r="925" s="117" customFormat="1" x14ac:dyDescent="0.2"/>
    <row r="926" s="117" customFormat="1" x14ac:dyDescent="0.2"/>
    <row r="927" s="117" customFormat="1" x14ac:dyDescent="0.2"/>
    <row r="928" s="117" customFormat="1" x14ac:dyDescent="0.2"/>
    <row r="929" s="117" customFormat="1" x14ac:dyDescent="0.2"/>
    <row r="930" s="117" customFormat="1" x14ac:dyDescent="0.2"/>
    <row r="931" s="117" customFormat="1" x14ac:dyDescent="0.2"/>
    <row r="932" s="117" customFormat="1" x14ac:dyDescent="0.2"/>
    <row r="933" s="117" customFormat="1" x14ac:dyDescent="0.2"/>
    <row r="934" s="117" customFormat="1" x14ac:dyDescent="0.2"/>
    <row r="935" s="117" customFormat="1" x14ac:dyDescent="0.2"/>
    <row r="936" s="117" customFormat="1" x14ac:dyDescent="0.2"/>
    <row r="937" s="117" customFormat="1" x14ac:dyDescent="0.2"/>
    <row r="938" s="117" customFormat="1" x14ac:dyDescent="0.2"/>
    <row r="939" s="117" customFormat="1" x14ac:dyDescent="0.2"/>
    <row r="940" s="117" customFormat="1" x14ac:dyDescent="0.2"/>
    <row r="941" s="117" customFormat="1" x14ac:dyDescent="0.2"/>
    <row r="942" s="117" customFormat="1" x14ac:dyDescent="0.2"/>
    <row r="943" s="117" customFormat="1" x14ac:dyDescent="0.2"/>
    <row r="944" s="117" customFormat="1" x14ac:dyDescent="0.2"/>
    <row r="945" s="117" customFormat="1" x14ac:dyDescent="0.2"/>
    <row r="946" s="117" customFormat="1" x14ac:dyDescent="0.2"/>
    <row r="947" s="117" customFormat="1" x14ac:dyDescent="0.2"/>
    <row r="948" s="117" customFormat="1" x14ac:dyDescent="0.2"/>
    <row r="949" s="117" customFormat="1" x14ac:dyDescent="0.2"/>
    <row r="950" s="117" customFormat="1" x14ac:dyDescent="0.2"/>
    <row r="951" s="117" customFormat="1" x14ac:dyDescent="0.2"/>
    <row r="952" s="117" customFormat="1" x14ac:dyDescent="0.2"/>
    <row r="953" s="117" customFormat="1" x14ac:dyDescent="0.2"/>
    <row r="954" s="117" customFormat="1" x14ac:dyDescent="0.2"/>
    <row r="955" s="117" customFormat="1" x14ac:dyDescent="0.2"/>
    <row r="956" s="117" customFormat="1" x14ac:dyDescent="0.2"/>
    <row r="957" s="117" customFormat="1" x14ac:dyDescent="0.2"/>
    <row r="958" s="117" customFormat="1" x14ac:dyDescent="0.2"/>
    <row r="959" s="117" customFormat="1" x14ac:dyDescent="0.2"/>
    <row r="960" s="117" customFormat="1" x14ac:dyDescent="0.2"/>
    <row r="961" s="117" customFormat="1" x14ac:dyDescent="0.2"/>
    <row r="962" s="117" customFormat="1" x14ac:dyDescent="0.2"/>
    <row r="963" s="117" customFormat="1" x14ac:dyDescent="0.2"/>
    <row r="964" s="117" customFormat="1" x14ac:dyDescent="0.2"/>
    <row r="965" s="117" customFormat="1" x14ac:dyDescent="0.2"/>
    <row r="966" s="117" customFormat="1" x14ac:dyDescent="0.2"/>
    <row r="967" s="117" customFormat="1" x14ac:dyDescent="0.2"/>
    <row r="968" s="117" customFormat="1" x14ac:dyDescent="0.2"/>
    <row r="969" s="117" customFormat="1" x14ac:dyDescent="0.2"/>
    <row r="970" s="117" customFormat="1" x14ac:dyDescent="0.2"/>
    <row r="971" s="117" customFormat="1" x14ac:dyDescent="0.2"/>
    <row r="972" s="117" customFormat="1" x14ac:dyDescent="0.2"/>
    <row r="973" s="117" customFormat="1" x14ac:dyDescent="0.2"/>
    <row r="974" s="117" customFormat="1" x14ac:dyDescent="0.2"/>
    <row r="975" s="117" customFormat="1" x14ac:dyDescent="0.2"/>
    <row r="976" s="117" customFormat="1" x14ac:dyDescent="0.2"/>
    <row r="977" s="117" customFormat="1" x14ac:dyDescent="0.2"/>
    <row r="978" s="117" customFormat="1" x14ac:dyDescent="0.2"/>
    <row r="979" s="117" customFormat="1" x14ac:dyDescent="0.2"/>
    <row r="980" s="117" customFormat="1" x14ac:dyDescent="0.2"/>
    <row r="981" s="117" customFormat="1" x14ac:dyDescent="0.2"/>
    <row r="982" s="117" customFormat="1" x14ac:dyDescent="0.2"/>
    <row r="983" s="117" customFormat="1" x14ac:dyDescent="0.2"/>
    <row r="984" s="117" customFormat="1" x14ac:dyDescent="0.2"/>
    <row r="985" s="117" customFormat="1" x14ac:dyDescent="0.2"/>
    <row r="986" s="117" customFormat="1" x14ac:dyDescent="0.2"/>
    <row r="987" s="117" customFormat="1" x14ac:dyDescent="0.2"/>
    <row r="988" s="117" customFormat="1" x14ac:dyDescent="0.2"/>
    <row r="989" s="117" customFormat="1" x14ac:dyDescent="0.2"/>
    <row r="990" s="117" customFormat="1" x14ac:dyDescent="0.2"/>
    <row r="991" s="117" customFormat="1" x14ac:dyDescent="0.2"/>
    <row r="992" s="117" customFormat="1" x14ac:dyDescent="0.2"/>
    <row r="993" s="117" customFormat="1" x14ac:dyDescent="0.2"/>
    <row r="994" s="117" customFormat="1" x14ac:dyDescent="0.2"/>
    <row r="995" s="117" customFormat="1" x14ac:dyDescent="0.2"/>
    <row r="996" s="117" customFormat="1" x14ac:dyDescent="0.2"/>
    <row r="997" s="117" customFormat="1" x14ac:dyDescent="0.2"/>
    <row r="998" s="117" customFormat="1" x14ac:dyDescent="0.2"/>
    <row r="999" s="117" customFormat="1" x14ac:dyDescent="0.2"/>
    <row r="1000" s="117" customFormat="1" x14ac:dyDescent="0.2"/>
    <row r="1001" s="117" customFormat="1" x14ac:dyDescent="0.2"/>
    <row r="1002" s="117" customFormat="1" x14ac:dyDescent="0.2"/>
    <row r="1003" s="117" customFormat="1" x14ac:dyDescent="0.2"/>
    <row r="1004" s="117" customFormat="1" x14ac:dyDescent="0.2"/>
    <row r="1005" s="117" customFormat="1" x14ac:dyDescent="0.2"/>
    <row r="1006" s="117" customFormat="1" x14ac:dyDescent="0.2"/>
    <row r="1007" s="117" customFormat="1" x14ac:dyDescent="0.2"/>
    <row r="1008" s="117" customFormat="1" x14ac:dyDescent="0.2"/>
    <row r="1009" s="117" customFormat="1" x14ac:dyDescent="0.2"/>
    <row r="1010" s="117" customFormat="1" x14ac:dyDescent="0.2"/>
    <row r="1011" s="117" customFormat="1" x14ac:dyDescent="0.2"/>
    <row r="1012" s="117" customFormat="1" x14ac:dyDescent="0.2"/>
    <row r="1013" s="117" customFormat="1" x14ac:dyDescent="0.2"/>
    <row r="1014" s="117" customFormat="1" x14ac:dyDescent="0.2"/>
    <row r="1015" s="117" customFormat="1" x14ac:dyDescent="0.2"/>
    <row r="1016" s="117" customFormat="1" x14ac:dyDescent="0.2"/>
    <row r="1017" s="117" customFormat="1" x14ac:dyDescent="0.2"/>
    <row r="1018" s="117" customFormat="1" x14ac:dyDescent="0.2"/>
    <row r="1019" s="117" customFormat="1" x14ac:dyDescent="0.2"/>
    <row r="1020" s="117" customFormat="1" x14ac:dyDescent="0.2"/>
    <row r="1021" s="117" customFormat="1" x14ac:dyDescent="0.2"/>
    <row r="1022" s="117" customFormat="1" x14ac:dyDescent="0.2"/>
    <row r="1023" s="117" customFormat="1" x14ac:dyDescent="0.2"/>
    <row r="1024" s="117" customFormat="1" x14ac:dyDescent="0.2"/>
    <row r="1025" s="117" customFormat="1" x14ac:dyDescent="0.2"/>
    <row r="1026" s="117" customFormat="1" x14ac:dyDescent="0.2"/>
    <row r="1027" s="117" customFormat="1" x14ac:dyDescent="0.2"/>
    <row r="1028" s="117" customFormat="1" x14ac:dyDescent="0.2"/>
    <row r="1029" s="117" customFormat="1" x14ac:dyDescent="0.2"/>
    <row r="1030" s="117" customFormat="1" x14ac:dyDescent="0.2"/>
    <row r="1031" s="117" customFormat="1" x14ac:dyDescent="0.2"/>
    <row r="1032" s="117" customFormat="1" x14ac:dyDescent="0.2"/>
    <row r="1033" s="117" customFormat="1" x14ac:dyDescent="0.2"/>
    <row r="1034" s="117" customFormat="1" x14ac:dyDescent="0.2"/>
    <row r="1035" s="117" customFormat="1" x14ac:dyDescent="0.2"/>
    <row r="1036" s="117" customFormat="1" x14ac:dyDescent="0.2"/>
    <row r="1037" s="117" customFormat="1" x14ac:dyDescent="0.2"/>
    <row r="1038" s="117" customFormat="1" x14ac:dyDescent="0.2"/>
    <row r="1039" s="117" customFormat="1" x14ac:dyDescent="0.2"/>
    <row r="1040" s="117" customFormat="1" x14ac:dyDescent="0.2"/>
    <row r="1041" s="117" customFormat="1" x14ac:dyDescent="0.2"/>
    <row r="1042" s="117" customFormat="1" x14ac:dyDescent="0.2"/>
    <row r="1043" s="117" customFormat="1" x14ac:dyDescent="0.2"/>
    <row r="1044" s="117" customFormat="1" x14ac:dyDescent="0.2"/>
    <row r="1045" s="117" customFormat="1" x14ac:dyDescent="0.2"/>
    <row r="1046" s="117" customFormat="1" x14ac:dyDescent="0.2"/>
    <row r="1047" s="117" customFormat="1" x14ac:dyDescent="0.2"/>
    <row r="1048" s="117" customFormat="1" x14ac:dyDescent="0.2"/>
    <row r="1049" s="117" customFormat="1" x14ac:dyDescent="0.2"/>
    <row r="1050" s="117" customFormat="1" x14ac:dyDescent="0.2"/>
    <row r="1051" s="117" customFormat="1" x14ac:dyDescent="0.2"/>
    <row r="1052" s="117" customFormat="1" x14ac:dyDescent="0.2"/>
    <row r="1053" s="117" customFormat="1" x14ac:dyDescent="0.2"/>
    <row r="1054" s="117" customFormat="1" x14ac:dyDescent="0.2"/>
    <row r="1055" s="117" customFormat="1" x14ac:dyDescent="0.2"/>
    <row r="1056" s="117" customFormat="1" x14ac:dyDescent="0.2"/>
    <row r="1057" s="117" customFormat="1" x14ac:dyDescent="0.2"/>
    <row r="1058" s="117" customFormat="1" x14ac:dyDescent="0.2"/>
    <row r="1059" s="117" customFormat="1" x14ac:dyDescent="0.2"/>
    <row r="1060" s="117" customFormat="1" x14ac:dyDescent="0.2"/>
    <row r="1061" s="117" customFormat="1" x14ac:dyDescent="0.2"/>
    <row r="1062" s="117" customFormat="1" x14ac:dyDescent="0.2"/>
    <row r="1063" s="117" customFormat="1" x14ac:dyDescent="0.2"/>
    <row r="1064" s="117" customFormat="1" x14ac:dyDescent="0.2"/>
    <row r="1065" s="117" customFormat="1" x14ac:dyDescent="0.2"/>
    <row r="1066" s="117" customFormat="1" x14ac:dyDescent="0.2"/>
    <row r="1067" s="117" customFormat="1" x14ac:dyDescent="0.2"/>
    <row r="1068" s="117" customFormat="1" x14ac:dyDescent="0.2"/>
    <row r="1069" s="117" customFormat="1" x14ac:dyDescent="0.2"/>
    <row r="1070" s="117" customFormat="1" x14ac:dyDescent="0.2"/>
    <row r="1071" s="117" customFormat="1" x14ac:dyDescent="0.2"/>
    <row r="1072" s="117" customFormat="1" x14ac:dyDescent="0.2"/>
    <row r="1073" s="117" customFormat="1" x14ac:dyDescent="0.2"/>
    <row r="1074" s="117" customFormat="1" x14ac:dyDescent="0.2"/>
    <row r="1075" s="117" customFormat="1" x14ac:dyDescent="0.2"/>
    <row r="1076" s="117" customFormat="1" x14ac:dyDescent="0.2"/>
    <row r="1077" s="117" customFormat="1" x14ac:dyDescent="0.2"/>
    <row r="1078" s="117" customFormat="1" x14ac:dyDescent="0.2"/>
    <row r="1079" s="117" customFormat="1" x14ac:dyDescent="0.2"/>
    <row r="1080" s="117" customFormat="1" x14ac:dyDescent="0.2"/>
    <row r="1081" s="117" customFormat="1" x14ac:dyDescent="0.2"/>
    <row r="1082" s="117" customFormat="1" x14ac:dyDescent="0.2"/>
    <row r="1083" s="117" customFormat="1" x14ac:dyDescent="0.2"/>
    <row r="1084" s="117" customFormat="1" x14ac:dyDescent="0.2"/>
    <row r="1085" s="117" customFormat="1" x14ac:dyDescent="0.2"/>
    <row r="1086" s="117" customFormat="1" x14ac:dyDescent="0.2"/>
    <row r="1087" s="117" customFormat="1" x14ac:dyDescent="0.2"/>
    <row r="1088" s="117" customFormat="1" x14ac:dyDescent="0.2"/>
    <row r="1089" s="117" customFormat="1" x14ac:dyDescent="0.2"/>
    <row r="1090" s="117" customFormat="1" x14ac:dyDescent="0.2"/>
    <row r="1091" s="117" customFormat="1" x14ac:dyDescent="0.2"/>
    <row r="1092" s="117" customFormat="1" x14ac:dyDescent="0.2"/>
    <row r="1093" s="117" customFormat="1" x14ac:dyDescent="0.2"/>
    <row r="1094" s="117" customFormat="1" x14ac:dyDescent="0.2"/>
    <row r="1095" s="117" customFormat="1" x14ac:dyDescent="0.2"/>
    <row r="1096" s="117" customFormat="1" x14ac:dyDescent="0.2"/>
    <row r="1097" s="117" customFormat="1" x14ac:dyDescent="0.2"/>
    <row r="1098" s="117" customFormat="1" x14ac:dyDescent="0.2"/>
    <row r="1099" s="117" customFormat="1" x14ac:dyDescent="0.2"/>
    <row r="1100" s="117" customFormat="1" x14ac:dyDescent="0.2"/>
    <row r="1101" s="117" customFormat="1" x14ac:dyDescent="0.2"/>
    <row r="1102" s="117" customFormat="1" x14ac:dyDescent="0.2"/>
    <row r="1103" s="117" customFormat="1" x14ac:dyDescent="0.2"/>
    <row r="1104" s="117" customFormat="1" x14ac:dyDescent="0.2"/>
    <row r="1105" s="117" customFormat="1" x14ac:dyDescent="0.2"/>
    <row r="1106" s="117" customFormat="1" x14ac:dyDescent="0.2"/>
    <row r="1107" s="117" customFormat="1" x14ac:dyDescent="0.2"/>
    <row r="1108" s="117" customFormat="1" x14ac:dyDescent="0.2"/>
    <row r="1109" s="117" customFormat="1" x14ac:dyDescent="0.2"/>
    <row r="1110" s="117" customFormat="1" x14ac:dyDescent="0.2"/>
    <row r="1111" s="117" customFormat="1" x14ac:dyDescent="0.2"/>
    <row r="1112" s="117" customFormat="1" x14ac:dyDescent="0.2"/>
    <row r="1113" s="117" customFormat="1" x14ac:dyDescent="0.2"/>
    <row r="1114" s="117" customFormat="1" x14ac:dyDescent="0.2"/>
    <row r="1115" s="117" customFormat="1" x14ac:dyDescent="0.2"/>
    <row r="1116" s="117" customFormat="1" x14ac:dyDescent="0.2"/>
    <row r="1117" s="117" customFormat="1" x14ac:dyDescent="0.2"/>
    <row r="1118" s="117" customFormat="1" x14ac:dyDescent="0.2"/>
    <row r="1119" s="117" customFormat="1" x14ac:dyDescent="0.2"/>
    <row r="1120" s="117" customFormat="1" x14ac:dyDescent="0.2"/>
    <row r="1121" s="117" customFormat="1" x14ac:dyDescent="0.2"/>
    <row r="1122" s="117" customFormat="1" x14ac:dyDescent="0.2"/>
    <row r="1123" s="117" customFormat="1" x14ac:dyDescent="0.2"/>
    <row r="1124" s="117" customFormat="1" x14ac:dyDescent="0.2"/>
    <row r="1125" s="117" customFormat="1" x14ac:dyDescent="0.2"/>
    <row r="1126" s="117" customFormat="1" x14ac:dyDescent="0.2"/>
    <row r="1127" s="117" customFormat="1" x14ac:dyDescent="0.2"/>
    <row r="1128" s="117" customFormat="1" x14ac:dyDescent="0.2"/>
    <row r="1129" s="117" customFormat="1" x14ac:dyDescent="0.2"/>
    <row r="1130" s="117" customFormat="1" x14ac:dyDescent="0.2"/>
    <row r="1131" s="117" customFormat="1" x14ac:dyDescent="0.2"/>
    <row r="1132" s="117" customFormat="1" x14ac:dyDescent="0.2"/>
    <row r="1133" s="117" customFormat="1" x14ac:dyDescent="0.2"/>
    <row r="1134" s="117" customFormat="1" x14ac:dyDescent="0.2"/>
    <row r="1135" s="117" customFormat="1" x14ac:dyDescent="0.2"/>
    <row r="1136" s="117" customFormat="1" x14ac:dyDescent="0.2"/>
    <row r="1137" s="117" customFormat="1" x14ac:dyDescent="0.2"/>
    <row r="1138" s="117" customFormat="1" x14ac:dyDescent="0.2"/>
    <row r="1139" s="117" customFormat="1" x14ac:dyDescent="0.2"/>
    <row r="1140" s="117" customFormat="1" x14ac:dyDescent="0.2"/>
    <row r="1141" s="117" customFormat="1" x14ac:dyDescent="0.2"/>
    <row r="1142" s="117" customFormat="1" x14ac:dyDescent="0.2"/>
    <row r="1143" s="117" customFormat="1" x14ac:dyDescent="0.2"/>
    <row r="1144" s="117" customFormat="1" x14ac:dyDescent="0.2"/>
    <row r="1145" s="117" customFormat="1" x14ac:dyDescent="0.2"/>
    <row r="1146" s="117" customFormat="1" x14ac:dyDescent="0.2"/>
    <row r="1147" s="117" customFormat="1" x14ac:dyDescent="0.2"/>
    <row r="1148" s="117" customFormat="1" x14ac:dyDescent="0.2"/>
    <row r="1149" s="117" customFormat="1" x14ac:dyDescent="0.2"/>
    <row r="1150" s="117" customFormat="1" x14ac:dyDescent="0.2"/>
    <row r="1151" s="117" customFormat="1" x14ac:dyDescent="0.2"/>
    <row r="1152" s="117" customFormat="1" x14ac:dyDescent="0.2"/>
    <row r="1153" s="117" customFormat="1" x14ac:dyDescent="0.2"/>
    <row r="1154" s="117" customFormat="1" x14ac:dyDescent="0.2"/>
    <row r="1155" s="117" customFormat="1" x14ac:dyDescent="0.2"/>
    <row r="1156" s="117" customFormat="1" x14ac:dyDescent="0.2"/>
    <row r="1157" s="117" customFormat="1" x14ac:dyDescent="0.2"/>
    <row r="1158" s="117" customFormat="1" x14ac:dyDescent="0.2"/>
    <row r="1159" s="117" customFormat="1" x14ac:dyDescent="0.2"/>
    <row r="1160" s="117" customFormat="1" x14ac:dyDescent="0.2"/>
    <row r="1161" s="117" customFormat="1" x14ac:dyDescent="0.2"/>
    <row r="1162" s="117" customFormat="1" x14ac:dyDescent="0.2"/>
    <row r="1163" s="117" customFormat="1" x14ac:dyDescent="0.2"/>
    <row r="1164" s="117" customFormat="1" x14ac:dyDescent="0.2"/>
    <row r="1165" s="117" customFormat="1" x14ac:dyDescent="0.2"/>
    <row r="1166" s="117" customFormat="1" x14ac:dyDescent="0.2"/>
    <row r="1167" s="117" customFormat="1" x14ac:dyDescent="0.2"/>
    <row r="1168" s="117" customFormat="1" x14ac:dyDescent="0.2"/>
    <row r="1169" s="117" customFormat="1" x14ac:dyDescent="0.2"/>
    <row r="1170" s="117" customFormat="1" x14ac:dyDescent="0.2"/>
    <row r="1171" s="117" customFormat="1" x14ac:dyDescent="0.2"/>
    <row r="1172" s="117" customFormat="1" x14ac:dyDescent="0.2"/>
    <row r="1173" s="117" customFormat="1" x14ac:dyDescent="0.2"/>
    <row r="1174" s="117" customFormat="1" x14ac:dyDescent="0.2"/>
    <row r="1175" s="117" customFormat="1" x14ac:dyDescent="0.2"/>
    <row r="1176" s="117" customFormat="1" x14ac:dyDescent="0.2"/>
    <row r="1177" s="117" customFormat="1" x14ac:dyDescent="0.2"/>
    <row r="1178" s="117" customFormat="1" x14ac:dyDescent="0.2"/>
    <row r="1179" s="117" customFormat="1" x14ac:dyDescent="0.2"/>
    <row r="1180" s="117" customFormat="1" x14ac:dyDescent="0.2"/>
    <row r="1181" s="117" customFormat="1" x14ac:dyDescent="0.2"/>
    <row r="1182" s="117" customFormat="1" x14ac:dyDescent="0.2"/>
    <row r="1183" s="117" customFormat="1" x14ac:dyDescent="0.2"/>
    <row r="1184" s="117" customFormat="1" x14ac:dyDescent="0.2"/>
    <row r="1185" s="117" customFormat="1" x14ac:dyDescent="0.2"/>
    <row r="1186" s="117" customFormat="1" x14ac:dyDescent="0.2"/>
    <row r="1187" s="117" customFormat="1" x14ac:dyDescent="0.2"/>
    <row r="1188" s="117" customFormat="1" x14ac:dyDescent="0.2"/>
    <row r="1189" s="117" customFormat="1" x14ac:dyDescent="0.2"/>
    <row r="1190" s="117" customFormat="1" x14ac:dyDescent="0.2"/>
    <row r="1191" s="117" customFormat="1" x14ac:dyDescent="0.2"/>
    <row r="1192" s="117" customFormat="1" x14ac:dyDescent="0.2"/>
    <row r="1193" s="117" customFormat="1" x14ac:dyDescent="0.2"/>
    <row r="1194" s="117" customFormat="1" x14ac:dyDescent="0.2"/>
    <row r="1195" s="117" customFormat="1" x14ac:dyDescent="0.2"/>
    <row r="1196" s="117" customFormat="1" x14ac:dyDescent="0.2"/>
    <row r="1197" s="117" customFormat="1" x14ac:dyDescent="0.2"/>
    <row r="1198" s="117" customFormat="1" x14ac:dyDescent="0.2"/>
    <row r="1199" s="117" customFormat="1" x14ac:dyDescent="0.2"/>
    <row r="1200" s="117" customFormat="1" x14ac:dyDescent="0.2"/>
    <row r="1201" s="117" customFormat="1" x14ac:dyDescent="0.2"/>
    <row r="1202" s="117" customFormat="1" x14ac:dyDescent="0.2"/>
    <row r="1203" s="117" customFormat="1" x14ac:dyDescent="0.2"/>
    <row r="1204" s="117" customFormat="1" x14ac:dyDescent="0.2"/>
    <row r="1205" s="117" customFormat="1" x14ac:dyDescent="0.2"/>
    <row r="1206" s="117" customFormat="1" x14ac:dyDescent="0.2"/>
    <row r="1207" s="117" customFormat="1" x14ac:dyDescent="0.2"/>
    <row r="1208" s="117" customFormat="1" x14ac:dyDescent="0.2"/>
    <row r="1209" s="117" customFormat="1" x14ac:dyDescent="0.2"/>
    <row r="1210" s="117" customFormat="1" x14ac:dyDescent="0.2"/>
    <row r="1211" s="117" customFormat="1" x14ac:dyDescent="0.2"/>
    <row r="1212" s="117" customFormat="1" x14ac:dyDescent="0.2"/>
    <row r="1213" s="117" customFormat="1" x14ac:dyDescent="0.2"/>
    <row r="1214" s="117" customFormat="1" x14ac:dyDescent="0.2"/>
    <row r="1215" s="117" customFormat="1" x14ac:dyDescent="0.2"/>
    <row r="1216" s="117" customFormat="1" x14ac:dyDescent="0.2"/>
    <row r="1217" s="117" customFormat="1" x14ac:dyDescent="0.2"/>
    <row r="1218" s="117" customFormat="1" x14ac:dyDescent="0.2"/>
    <row r="1219" s="117" customFormat="1" x14ac:dyDescent="0.2"/>
    <row r="1220" s="117" customFormat="1" x14ac:dyDescent="0.2"/>
    <row r="1221" s="117" customFormat="1" x14ac:dyDescent="0.2"/>
    <row r="1222" s="117" customFormat="1" x14ac:dyDescent="0.2"/>
    <row r="1223" s="117" customFormat="1" x14ac:dyDescent="0.2"/>
    <row r="1224" s="117" customFormat="1" x14ac:dyDescent="0.2"/>
    <row r="1225" s="117" customFormat="1" x14ac:dyDescent="0.2"/>
    <row r="1226" s="117" customFormat="1" x14ac:dyDescent="0.2"/>
    <row r="1227" s="117" customFormat="1" x14ac:dyDescent="0.2"/>
    <row r="1228" s="117" customFormat="1" x14ac:dyDescent="0.2"/>
    <row r="1229" s="117" customFormat="1" x14ac:dyDescent="0.2"/>
    <row r="1230" s="117" customFormat="1" x14ac:dyDescent="0.2"/>
    <row r="1231" s="117" customFormat="1" x14ac:dyDescent="0.2"/>
    <row r="1232" s="117" customFormat="1" x14ac:dyDescent="0.2"/>
    <row r="1233" s="117" customFormat="1" x14ac:dyDescent="0.2"/>
    <row r="1234" s="117" customFormat="1" x14ac:dyDescent="0.2"/>
    <row r="1235" s="117" customFormat="1" x14ac:dyDescent="0.2"/>
    <row r="1236" s="117" customFormat="1" x14ac:dyDescent="0.2"/>
    <row r="1237" s="117" customFormat="1" x14ac:dyDescent="0.2"/>
    <row r="1238" s="117" customFormat="1" x14ac:dyDescent="0.2"/>
    <row r="1239" s="117" customFormat="1" x14ac:dyDescent="0.2"/>
    <row r="1240" s="117" customFormat="1" x14ac:dyDescent="0.2"/>
    <row r="1241" s="117" customFormat="1" x14ac:dyDescent="0.2"/>
    <row r="1242" s="117" customFormat="1" x14ac:dyDescent="0.2"/>
    <row r="1243" s="117" customFormat="1" x14ac:dyDescent="0.2"/>
    <row r="1244" s="117" customFormat="1" x14ac:dyDescent="0.2"/>
    <row r="1245" s="117" customFormat="1" x14ac:dyDescent="0.2"/>
    <row r="1246" s="117" customFormat="1" x14ac:dyDescent="0.2"/>
    <row r="1247" s="117" customFormat="1" x14ac:dyDescent="0.2"/>
    <row r="1248" s="117" customFormat="1" x14ac:dyDescent="0.2"/>
    <row r="1249" s="117" customFormat="1" x14ac:dyDescent="0.2"/>
    <row r="1250" s="117" customFormat="1" x14ac:dyDescent="0.2"/>
    <row r="1251" s="117" customFormat="1" x14ac:dyDescent="0.2"/>
    <row r="1252" s="117" customFormat="1" x14ac:dyDescent="0.2"/>
    <row r="1253" s="117" customFormat="1" x14ac:dyDescent="0.2"/>
    <row r="1254" s="117" customFormat="1" x14ac:dyDescent="0.2"/>
    <row r="1255" s="117" customFormat="1" x14ac:dyDescent="0.2"/>
    <row r="1256" s="117" customFormat="1" x14ac:dyDescent="0.2"/>
    <row r="1257" s="117" customFormat="1" x14ac:dyDescent="0.2"/>
    <row r="1258" s="117" customFormat="1" x14ac:dyDescent="0.2"/>
    <row r="1259" s="117" customFormat="1" x14ac:dyDescent="0.2"/>
    <row r="1260" s="117" customFormat="1" x14ac:dyDescent="0.2"/>
    <row r="1261" s="117" customFormat="1" x14ac:dyDescent="0.2"/>
    <row r="1262" s="117" customFormat="1" x14ac:dyDescent="0.2"/>
    <row r="1263" s="117" customFormat="1" x14ac:dyDescent="0.2"/>
    <row r="1264" s="117" customFormat="1" x14ac:dyDescent="0.2"/>
    <row r="1265" s="117" customFormat="1" x14ac:dyDescent="0.2"/>
    <row r="1266" s="117" customFormat="1" x14ac:dyDescent="0.2"/>
    <row r="1267" s="117" customFormat="1" x14ac:dyDescent="0.2"/>
    <row r="1268" s="117" customFormat="1" x14ac:dyDescent="0.2"/>
    <row r="1269" s="117" customFormat="1" x14ac:dyDescent="0.2"/>
    <row r="1270" s="117" customFormat="1" x14ac:dyDescent="0.2"/>
    <row r="1271" s="117" customFormat="1" x14ac:dyDescent="0.2"/>
    <row r="1272" s="117" customFormat="1" x14ac:dyDescent="0.2"/>
    <row r="1273" s="117" customFormat="1" x14ac:dyDescent="0.2"/>
    <row r="1274" s="117" customFormat="1" x14ac:dyDescent="0.2"/>
    <row r="1275" s="117" customFormat="1" x14ac:dyDescent="0.2"/>
    <row r="1276" s="117" customFormat="1" x14ac:dyDescent="0.2"/>
    <row r="1277" s="117" customFormat="1" x14ac:dyDescent="0.2"/>
    <row r="1278" s="117" customFormat="1" x14ac:dyDescent="0.2"/>
    <row r="1279" s="117" customFormat="1" x14ac:dyDescent="0.2"/>
    <row r="1280" s="117" customFormat="1" x14ac:dyDescent="0.2"/>
    <row r="1281" s="117" customFormat="1" x14ac:dyDescent="0.2"/>
    <row r="1282" s="117" customFormat="1" x14ac:dyDescent="0.2"/>
    <row r="1283" s="117" customFormat="1" x14ac:dyDescent="0.2"/>
    <row r="1284" s="117" customFormat="1" x14ac:dyDescent="0.2"/>
    <row r="1285" s="117" customFormat="1" x14ac:dyDescent="0.2"/>
    <row r="1286" s="117" customFormat="1" x14ac:dyDescent="0.2"/>
    <row r="1287" s="117" customFormat="1" x14ac:dyDescent="0.2"/>
    <row r="1288" s="117" customFormat="1" x14ac:dyDescent="0.2"/>
    <row r="1289" s="117" customFormat="1" x14ac:dyDescent="0.2"/>
    <row r="1290" s="117" customFormat="1" x14ac:dyDescent="0.2"/>
    <row r="1291" s="117" customFormat="1" x14ac:dyDescent="0.2"/>
    <row r="1292" s="117" customFormat="1" x14ac:dyDescent="0.2"/>
    <row r="1293" s="117" customFormat="1" x14ac:dyDescent="0.2"/>
    <row r="1294" s="117" customFormat="1" x14ac:dyDescent="0.2"/>
    <row r="1295" s="117" customFormat="1" x14ac:dyDescent="0.2"/>
    <row r="1296" s="117" customFormat="1" x14ac:dyDescent="0.2"/>
    <row r="1297" s="117" customFormat="1" x14ac:dyDescent="0.2"/>
    <row r="1298" s="117" customFormat="1" x14ac:dyDescent="0.2"/>
    <row r="1299" s="117" customFormat="1" x14ac:dyDescent="0.2"/>
    <row r="1300" s="117" customFormat="1" x14ac:dyDescent="0.2"/>
    <row r="1301" s="117" customFormat="1" x14ac:dyDescent="0.2"/>
    <row r="1302" s="117" customFormat="1" x14ac:dyDescent="0.2"/>
    <row r="1303" s="117" customFormat="1" x14ac:dyDescent="0.2"/>
    <row r="1304" s="117" customFormat="1" x14ac:dyDescent="0.2"/>
    <row r="1305" s="117" customFormat="1" x14ac:dyDescent="0.2"/>
    <row r="1306" s="117" customFormat="1" x14ac:dyDescent="0.2"/>
    <row r="1307" s="117" customFormat="1" x14ac:dyDescent="0.2"/>
    <row r="1308" s="117" customFormat="1" x14ac:dyDescent="0.2"/>
    <row r="1309" s="117" customFormat="1" x14ac:dyDescent="0.2"/>
    <row r="1310" s="117" customFormat="1" x14ac:dyDescent="0.2"/>
    <row r="1311" s="117" customFormat="1" x14ac:dyDescent="0.2"/>
    <row r="1312" s="117" customFormat="1" x14ac:dyDescent="0.2"/>
    <row r="1313" s="117" customFormat="1" x14ac:dyDescent="0.2"/>
    <row r="1314" s="117" customFormat="1" x14ac:dyDescent="0.2"/>
    <row r="1315" s="117" customFormat="1" x14ac:dyDescent="0.2"/>
    <row r="1316" s="117" customFormat="1" x14ac:dyDescent="0.2"/>
    <row r="1317" s="117" customFormat="1" x14ac:dyDescent="0.2"/>
    <row r="1318" s="117" customFormat="1" x14ac:dyDescent="0.2"/>
    <row r="1319" s="117" customFormat="1" x14ac:dyDescent="0.2"/>
    <row r="1320" s="117" customFormat="1" x14ac:dyDescent="0.2"/>
    <row r="1321" s="117" customFormat="1" x14ac:dyDescent="0.2"/>
    <row r="1322" s="117" customFormat="1" x14ac:dyDescent="0.2"/>
    <row r="1323" s="117" customFormat="1" x14ac:dyDescent="0.2"/>
    <row r="1324" s="117" customFormat="1" x14ac:dyDescent="0.2"/>
    <row r="1325" s="117" customFormat="1" x14ac:dyDescent="0.2"/>
    <row r="1326" s="117" customFormat="1" x14ac:dyDescent="0.2"/>
    <row r="1327" s="117" customFormat="1" x14ac:dyDescent="0.2"/>
    <row r="1328" s="117" customFormat="1" x14ac:dyDescent="0.2"/>
    <row r="1329" s="117" customFormat="1" x14ac:dyDescent="0.2"/>
    <row r="1330" s="117" customFormat="1" x14ac:dyDescent="0.2"/>
    <row r="1331" s="117" customFormat="1" x14ac:dyDescent="0.2"/>
    <row r="1332" s="117" customFormat="1" x14ac:dyDescent="0.2"/>
    <row r="1333" s="117" customFormat="1" x14ac:dyDescent="0.2"/>
    <row r="1334" s="117" customFormat="1" x14ac:dyDescent="0.2"/>
    <row r="1335" s="117" customFormat="1" x14ac:dyDescent="0.2"/>
    <row r="1336" s="117" customFormat="1" x14ac:dyDescent="0.2"/>
    <row r="1337" s="117" customFormat="1" x14ac:dyDescent="0.2"/>
    <row r="1338" s="117" customFormat="1" x14ac:dyDescent="0.2"/>
    <row r="1339" s="117" customFormat="1" x14ac:dyDescent="0.2"/>
    <row r="1340" s="117" customFormat="1" x14ac:dyDescent="0.2"/>
    <row r="1341" s="117" customFormat="1" x14ac:dyDescent="0.2"/>
    <row r="1342" s="117" customFormat="1" x14ac:dyDescent="0.2"/>
    <row r="1343" s="117" customFormat="1" x14ac:dyDescent="0.2"/>
    <row r="1344" s="117" customFormat="1" x14ac:dyDescent="0.2"/>
    <row r="1345" s="117" customFormat="1" x14ac:dyDescent="0.2"/>
    <row r="1346" s="117" customFormat="1" x14ac:dyDescent="0.2"/>
    <row r="1347" s="117" customFormat="1" x14ac:dyDescent="0.2"/>
    <row r="1348" s="117" customFormat="1" x14ac:dyDescent="0.2"/>
    <row r="1349" s="117" customFormat="1" x14ac:dyDescent="0.2"/>
    <row r="1350" s="117" customFormat="1" x14ac:dyDescent="0.2"/>
    <row r="1351" s="117" customFormat="1" x14ac:dyDescent="0.2"/>
    <row r="1352" s="117" customFormat="1" x14ac:dyDescent="0.2"/>
    <row r="1353" s="117" customFormat="1" x14ac:dyDescent="0.2"/>
    <row r="1354" s="117" customFormat="1" x14ac:dyDescent="0.2"/>
    <row r="1355" s="117" customFormat="1" x14ac:dyDescent="0.2"/>
    <row r="1356" s="117" customFormat="1" x14ac:dyDescent="0.2"/>
    <row r="1357" s="117" customFormat="1" x14ac:dyDescent="0.2"/>
    <row r="1358" s="117" customFormat="1" x14ac:dyDescent="0.2"/>
    <row r="1359" s="117" customFormat="1" x14ac:dyDescent="0.2"/>
    <row r="1360" s="117" customFormat="1" x14ac:dyDescent="0.2"/>
    <row r="1361" s="117" customFormat="1" x14ac:dyDescent="0.2"/>
    <row r="1362" s="117" customFormat="1" x14ac:dyDescent="0.2"/>
    <row r="1363" s="117" customFormat="1" x14ac:dyDescent="0.2"/>
    <row r="1364" s="117" customFormat="1" x14ac:dyDescent="0.2"/>
    <row r="1365" s="117" customFormat="1" x14ac:dyDescent="0.2"/>
    <row r="1366" s="117" customFormat="1" x14ac:dyDescent="0.2"/>
    <row r="1367" s="117" customFormat="1" x14ac:dyDescent="0.2"/>
    <row r="1368" s="117" customFormat="1" x14ac:dyDescent="0.2"/>
    <row r="1369" s="117" customFormat="1" x14ac:dyDescent="0.2"/>
    <row r="1370" s="117" customFormat="1" x14ac:dyDescent="0.2"/>
    <row r="1371" s="117" customFormat="1" x14ac:dyDescent="0.2"/>
    <row r="1372" s="117" customFormat="1" x14ac:dyDescent="0.2"/>
    <row r="1373" s="117" customFormat="1" x14ac:dyDescent="0.2"/>
    <row r="1374" s="117" customFormat="1" x14ac:dyDescent="0.2"/>
    <row r="1375" s="117" customFormat="1" x14ac:dyDescent="0.2"/>
    <row r="1376" s="117" customFormat="1" x14ac:dyDescent="0.2"/>
    <row r="1377" s="117" customFormat="1" x14ac:dyDescent="0.2"/>
    <row r="1378" s="117" customFormat="1" x14ac:dyDescent="0.2"/>
    <row r="1379" s="117" customFormat="1" x14ac:dyDescent="0.2"/>
    <row r="1380" s="117" customFormat="1" x14ac:dyDescent="0.2"/>
    <row r="1381" s="117" customFormat="1" x14ac:dyDescent="0.2"/>
    <row r="1382" s="117" customFormat="1" x14ac:dyDescent="0.2"/>
    <row r="1383" s="117" customFormat="1" x14ac:dyDescent="0.2"/>
    <row r="1384" s="117" customFormat="1" x14ac:dyDescent="0.2"/>
    <row r="1385" s="117" customFormat="1" x14ac:dyDescent="0.2"/>
    <row r="1386" s="117" customFormat="1" x14ac:dyDescent="0.2"/>
    <row r="1387" s="117" customFormat="1" x14ac:dyDescent="0.2"/>
    <row r="1388" s="117" customFormat="1" x14ac:dyDescent="0.2"/>
    <row r="1389" s="117" customFormat="1" x14ac:dyDescent="0.2"/>
    <row r="1390" s="117" customFormat="1" x14ac:dyDescent="0.2"/>
    <row r="1391" s="117" customFormat="1" x14ac:dyDescent="0.2"/>
    <row r="1392" s="117" customFormat="1" x14ac:dyDescent="0.2"/>
    <row r="1393" s="117" customFormat="1" x14ac:dyDescent="0.2"/>
    <row r="1394" s="117" customFormat="1" x14ac:dyDescent="0.2"/>
    <row r="1395" s="117" customFormat="1" x14ac:dyDescent="0.2"/>
    <row r="1396" s="117" customFormat="1" x14ac:dyDescent="0.2"/>
    <row r="1397" s="117" customFormat="1" x14ac:dyDescent="0.2"/>
    <row r="1398" s="117" customFormat="1" x14ac:dyDescent="0.2"/>
    <row r="1399" s="117" customFormat="1" x14ac:dyDescent="0.2"/>
    <row r="1400" s="117" customFormat="1" x14ac:dyDescent="0.2"/>
    <row r="1401" s="117" customFormat="1" x14ac:dyDescent="0.2"/>
    <row r="1402" s="117" customFormat="1" x14ac:dyDescent="0.2"/>
    <row r="1403" s="117" customFormat="1" x14ac:dyDescent="0.2"/>
    <row r="1404" s="117" customFormat="1" x14ac:dyDescent="0.2"/>
    <row r="1405" s="117" customFormat="1" x14ac:dyDescent="0.2"/>
    <row r="1406" s="117" customFormat="1" x14ac:dyDescent="0.2"/>
    <row r="1407" s="117" customFormat="1" x14ac:dyDescent="0.2"/>
    <row r="1408" s="117" customFormat="1" x14ac:dyDescent="0.2"/>
    <row r="1409" s="117" customFormat="1" x14ac:dyDescent="0.2"/>
    <row r="1410" s="117" customFormat="1" x14ac:dyDescent="0.2"/>
    <row r="1411" s="117" customFormat="1" x14ac:dyDescent="0.2"/>
    <row r="1412" s="117" customFormat="1" x14ac:dyDescent="0.2"/>
    <row r="1413" s="117" customFormat="1" x14ac:dyDescent="0.2"/>
    <row r="1414" s="117" customFormat="1" x14ac:dyDescent="0.2"/>
    <row r="1415" s="117" customFormat="1" x14ac:dyDescent="0.2"/>
    <row r="1416" s="117" customFormat="1" x14ac:dyDescent="0.2"/>
    <row r="1417" s="117" customFormat="1" x14ac:dyDescent="0.2"/>
    <row r="1418" s="117" customFormat="1" x14ac:dyDescent="0.2"/>
    <row r="1419" s="117" customFormat="1" x14ac:dyDescent="0.2"/>
    <row r="1420" s="117" customFormat="1" x14ac:dyDescent="0.2"/>
    <row r="1421" s="117" customFormat="1" x14ac:dyDescent="0.2"/>
    <row r="1422" s="117" customFormat="1" x14ac:dyDescent="0.2"/>
    <row r="1423" s="117" customFormat="1" x14ac:dyDescent="0.2"/>
    <row r="1424" s="117" customFormat="1" x14ac:dyDescent="0.2"/>
    <row r="1425" s="117" customFormat="1" x14ac:dyDescent="0.2"/>
    <row r="1426" s="117" customFormat="1" x14ac:dyDescent="0.2"/>
    <row r="1427" s="117" customFormat="1" x14ac:dyDescent="0.2"/>
    <row r="1428" s="117" customFormat="1" x14ac:dyDescent="0.2"/>
    <row r="1429" s="117" customFormat="1" x14ac:dyDescent="0.2"/>
    <row r="1430" s="117" customFormat="1" x14ac:dyDescent="0.2"/>
    <row r="1431" s="117" customFormat="1" x14ac:dyDescent="0.2"/>
    <row r="1432" s="117" customFormat="1" x14ac:dyDescent="0.2"/>
    <row r="1433" s="117" customFormat="1" x14ac:dyDescent="0.2"/>
    <row r="1434" s="117" customFormat="1" x14ac:dyDescent="0.2"/>
    <row r="1435" s="117" customFormat="1" x14ac:dyDescent="0.2"/>
    <row r="1436" s="117" customFormat="1" x14ac:dyDescent="0.2"/>
    <row r="1437" s="117" customFormat="1" x14ac:dyDescent="0.2"/>
    <row r="1438" s="117" customFormat="1" x14ac:dyDescent="0.2"/>
    <row r="1439" s="117" customFormat="1" x14ac:dyDescent="0.2"/>
    <row r="1440" s="117" customFormat="1" x14ac:dyDescent="0.2"/>
    <row r="1441" s="117" customFormat="1" x14ac:dyDescent="0.2"/>
    <row r="1442" s="117" customFormat="1" x14ac:dyDescent="0.2"/>
    <row r="1443" s="117" customFormat="1" x14ac:dyDescent="0.2"/>
    <row r="1444" s="117" customFormat="1" x14ac:dyDescent="0.2"/>
    <row r="1445" s="117" customFormat="1" x14ac:dyDescent="0.2"/>
    <row r="1446" s="117" customFormat="1" x14ac:dyDescent="0.2"/>
    <row r="1447" s="117" customFormat="1" x14ac:dyDescent="0.2"/>
    <row r="1448" s="117" customFormat="1" x14ac:dyDescent="0.2"/>
    <row r="1449" s="117" customFormat="1" x14ac:dyDescent="0.2"/>
    <row r="1450" s="117" customFormat="1" x14ac:dyDescent="0.2"/>
    <row r="1451" s="117" customFormat="1" x14ac:dyDescent="0.2"/>
    <row r="1452" s="117" customFormat="1" x14ac:dyDescent="0.2"/>
    <row r="1453" s="117" customFormat="1" x14ac:dyDescent="0.2"/>
    <row r="1454" s="117" customFormat="1" x14ac:dyDescent="0.2"/>
    <row r="1455" s="117" customFormat="1" x14ac:dyDescent="0.2"/>
    <row r="1456" s="117" customFormat="1" x14ac:dyDescent="0.2"/>
    <row r="1457" s="117" customFormat="1" x14ac:dyDescent="0.2"/>
    <row r="1458" s="117" customFormat="1" x14ac:dyDescent="0.2"/>
    <row r="1459" s="117" customFormat="1" x14ac:dyDescent="0.2"/>
    <row r="1460" s="117" customFormat="1" x14ac:dyDescent="0.2"/>
    <row r="1461" s="117" customFormat="1" x14ac:dyDescent="0.2"/>
    <row r="1462" s="117" customFormat="1" x14ac:dyDescent="0.2"/>
    <row r="1463" s="117" customFormat="1" x14ac:dyDescent="0.2"/>
    <row r="1464" s="117" customFormat="1" x14ac:dyDescent="0.2"/>
    <row r="1465" s="117" customFormat="1" x14ac:dyDescent="0.2"/>
    <row r="1466" s="117" customFormat="1" x14ac:dyDescent="0.2"/>
    <row r="1467" s="117" customFormat="1" x14ac:dyDescent="0.2"/>
    <row r="1468" s="117" customFormat="1" x14ac:dyDescent="0.2"/>
    <row r="1469" s="117" customFormat="1" x14ac:dyDescent="0.2"/>
    <row r="1470" s="117" customFormat="1" x14ac:dyDescent="0.2"/>
    <row r="1471" s="117" customFormat="1" x14ac:dyDescent="0.2"/>
    <row r="1472" s="117" customFormat="1" x14ac:dyDescent="0.2"/>
    <row r="1473" s="117" customFormat="1" x14ac:dyDescent="0.2"/>
    <row r="1474" s="117" customFormat="1" x14ac:dyDescent="0.2"/>
    <row r="1475" s="117" customFormat="1" x14ac:dyDescent="0.2"/>
    <row r="1476" s="117" customFormat="1" x14ac:dyDescent="0.2"/>
    <row r="1477" s="117" customFormat="1" x14ac:dyDescent="0.2"/>
    <row r="1478" s="117" customFormat="1" x14ac:dyDescent="0.2"/>
    <row r="1479" s="117" customFormat="1" x14ac:dyDescent="0.2"/>
    <row r="1480" s="117" customFormat="1" x14ac:dyDescent="0.2"/>
    <row r="1481" s="117" customFormat="1" x14ac:dyDescent="0.2"/>
    <row r="1482" s="117" customFormat="1" x14ac:dyDescent="0.2"/>
    <row r="1483" s="117" customFormat="1" x14ac:dyDescent="0.2"/>
    <row r="1484" s="117" customFormat="1" x14ac:dyDescent="0.2"/>
    <row r="1485" s="117" customFormat="1" x14ac:dyDescent="0.2"/>
    <row r="1486" s="117" customFormat="1" x14ac:dyDescent="0.2"/>
    <row r="1487" s="117" customFormat="1" x14ac:dyDescent="0.2"/>
    <row r="1488" s="117" customFormat="1" x14ac:dyDescent="0.2"/>
    <row r="1489" s="117" customFormat="1" x14ac:dyDescent="0.2"/>
    <row r="1490" s="117" customFormat="1" x14ac:dyDescent="0.2"/>
    <row r="1491" s="117" customFormat="1" x14ac:dyDescent="0.2"/>
    <row r="1492" s="117" customFormat="1" x14ac:dyDescent="0.2"/>
    <row r="1493" s="117" customFormat="1" x14ac:dyDescent="0.2"/>
    <row r="1494" s="117" customFormat="1" x14ac:dyDescent="0.2"/>
    <row r="1495" s="117" customFormat="1" x14ac:dyDescent="0.2"/>
    <row r="1496" s="117" customFormat="1" x14ac:dyDescent="0.2"/>
    <row r="1497" s="117" customFormat="1" x14ac:dyDescent="0.2"/>
    <row r="1498" s="117" customFormat="1" x14ac:dyDescent="0.2"/>
    <row r="1499" s="117" customFormat="1" x14ac:dyDescent="0.2"/>
    <row r="1500" s="117" customFormat="1" x14ac:dyDescent="0.2"/>
    <row r="1501" s="117" customFormat="1" x14ac:dyDescent="0.2"/>
    <row r="1502" s="117" customFormat="1" x14ac:dyDescent="0.2"/>
    <row r="1503" s="117" customFormat="1" x14ac:dyDescent="0.2"/>
    <row r="1504" s="117" customFormat="1" x14ac:dyDescent="0.2"/>
    <row r="1505" s="117" customFormat="1" x14ac:dyDescent="0.2"/>
    <row r="1506" s="117" customFormat="1" x14ac:dyDescent="0.2"/>
    <row r="1507" s="117" customFormat="1" x14ac:dyDescent="0.2"/>
    <row r="1508" s="117" customFormat="1" x14ac:dyDescent="0.2"/>
    <row r="1509" s="117" customFormat="1" x14ac:dyDescent="0.2"/>
    <row r="1510" s="117" customFormat="1" x14ac:dyDescent="0.2"/>
    <row r="1511" s="117" customFormat="1" x14ac:dyDescent="0.2"/>
    <row r="1512" s="117" customFormat="1" x14ac:dyDescent="0.2"/>
    <row r="1513" s="117" customFormat="1" x14ac:dyDescent="0.2"/>
    <row r="1514" s="117" customFormat="1" x14ac:dyDescent="0.2"/>
    <row r="1515" s="117" customFormat="1" x14ac:dyDescent="0.2"/>
    <row r="1516" s="117" customFormat="1" x14ac:dyDescent="0.2"/>
    <row r="1517" s="117" customFormat="1" x14ac:dyDescent="0.2"/>
    <row r="1518" s="117" customFormat="1" x14ac:dyDescent="0.2"/>
    <row r="1519" s="117" customFormat="1" x14ac:dyDescent="0.2"/>
    <row r="1520" s="117" customFormat="1" x14ac:dyDescent="0.2"/>
    <row r="1521" s="117" customFormat="1" x14ac:dyDescent="0.2"/>
    <row r="1522" s="117" customFormat="1" x14ac:dyDescent="0.2"/>
    <row r="1523" s="117" customFormat="1" x14ac:dyDescent="0.2"/>
    <row r="1524" s="117" customFormat="1" x14ac:dyDescent="0.2"/>
    <row r="1525" s="117" customFormat="1" x14ac:dyDescent="0.2"/>
    <row r="1526" s="117" customFormat="1" x14ac:dyDescent="0.2"/>
    <row r="1527" s="117" customFormat="1" x14ac:dyDescent="0.2"/>
    <row r="1528" s="117" customFormat="1" x14ac:dyDescent="0.2"/>
    <row r="1529" s="117" customFormat="1" x14ac:dyDescent="0.2"/>
    <row r="1530" s="117" customFormat="1" x14ac:dyDescent="0.2"/>
    <row r="1531" s="117" customFormat="1" x14ac:dyDescent="0.2"/>
    <row r="1532" s="117" customFormat="1" x14ac:dyDescent="0.2"/>
    <row r="1533" s="117" customFormat="1" x14ac:dyDescent="0.2"/>
    <row r="1534" s="117" customFormat="1" x14ac:dyDescent="0.2"/>
    <row r="1535" s="117" customFormat="1" x14ac:dyDescent="0.2"/>
    <row r="1536" s="117" customFormat="1" x14ac:dyDescent="0.2"/>
    <row r="1537" s="117" customFormat="1" x14ac:dyDescent="0.2"/>
    <row r="1538" s="117" customFormat="1" x14ac:dyDescent="0.2"/>
    <row r="1539" s="117" customFormat="1" x14ac:dyDescent="0.2"/>
    <row r="1540" s="117" customFormat="1" x14ac:dyDescent="0.2"/>
    <row r="1541" s="117" customFormat="1" x14ac:dyDescent="0.2"/>
    <row r="1542" s="117" customFormat="1" x14ac:dyDescent="0.2"/>
    <row r="1543" s="117" customFormat="1" x14ac:dyDescent="0.2"/>
    <row r="1544" s="117" customFormat="1" x14ac:dyDescent="0.2"/>
    <row r="1545" s="117" customFormat="1" x14ac:dyDescent="0.2"/>
    <row r="1546" s="117" customFormat="1" x14ac:dyDescent="0.2"/>
    <row r="1547" s="117" customFormat="1" x14ac:dyDescent="0.2"/>
    <row r="1548" s="117" customFormat="1" x14ac:dyDescent="0.2"/>
    <row r="1549" s="117" customFormat="1" x14ac:dyDescent="0.2"/>
    <row r="1550" s="117" customFormat="1" x14ac:dyDescent="0.2"/>
    <row r="1551" s="117" customFormat="1" x14ac:dyDescent="0.2"/>
    <row r="1552" s="117" customFormat="1" x14ac:dyDescent="0.2"/>
    <row r="1553" s="117" customFormat="1" x14ac:dyDescent="0.2"/>
    <row r="1554" s="117" customFormat="1" x14ac:dyDescent="0.2"/>
    <row r="1555" s="117" customFormat="1" x14ac:dyDescent="0.2"/>
    <row r="1556" s="117" customFormat="1" x14ac:dyDescent="0.2"/>
    <row r="1557" s="117" customFormat="1" x14ac:dyDescent="0.2"/>
    <row r="1558" s="117" customFormat="1" x14ac:dyDescent="0.2"/>
    <row r="1559" s="117" customFormat="1" x14ac:dyDescent="0.2"/>
    <row r="1560" s="117" customFormat="1" x14ac:dyDescent="0.2"/>
    <row r="1561" s="117" customFormat="1" x14ac:dyDescent="0.2"/>
    <row r="1562" s="117" customFormat="1" x14ac:dyDescent="0.2"/>
    <row r="1563" s="117" customFormat="1" x14ac:dyDescent="0.2"/>
    <row r="1564" s="117" customFormat="1" x14ac:dyDescent="0.2"/>
    <row r="1565" s="117" customFormat="1" x14ac:dyDescent="0.2"/>
    <row r="1566" s="117" customFormat="1" x14ac:dyDescent="0.2"/>
    <row r="1567" s="117" customFormat="1" x14ac:dyDescent="0.2"/>
    <row r="1568" s="117" customFormat="1" x14ac:dyDescent="0.2"/>
    <row r="1569" s="117" customFormat="1" x14ac:dyDescent="0.2"/>
    <row r="1570" s="117" customFormat="1" x14ac:dyDescent="0.2"/>
    <row r="1571" s="117" customFormat="1" x14ac:dyDescent="0.2"/>
    <row r="1572" s="117" customFormat="1" x14ac:dyDescent="0.2"/>
    <row r="1573" s="117" customFormat="1" x14ac:dyDescent="0.2"/>
    <row r="1574" s="117" customFormat="1" x14ac:dyDescent="0.2"/>
    <row r="1575" s="117" customFormat="1" x14ac:dyDescent="0.2"/>
    <row r="1576" s="117" customFormat="1" x14ac:dyDescent="0.2"/>
    <row r="1577" s="117" customFormat="1" x14ac:dyDescent="0.2"/>
    <row r="1578" s="117" customFormat="1" x14ac:dyDescent="0.2"/>
    <row r="1579" s="117" customFormat="1" x14ac:dyDescent="0.2"/>
    <row r="1580" s="117" customFormat="1" x14ac:dyDescent="0.2"/>
    <row r="1581" s="117" customFormat="1" x14ac:dyDescent="0.2"/>
    <row r="1582" s="117" customFormat="1" x14ac:dyDescent="0.2"/>
    <row r="1583" s="117" customFormat="1" x14ac:dyDescent="0.2"/>
    <row r="1584" s="117" customFormat="1" x14ac:dyDescent="0.2"/>
    <row r="1585" s="117" customFormat="1" x14ac:dyDescent="0.2"/>
    <row r="1586" s="117" customFormat="1" x14ac:dyDescent="0.2"/>
    <row r="1587" s="117" customFormat="1" x14ac:dyDescent="0.2"/>
    <row r="1588" s="117" customFormat="1" x14ac:dyDescent="0.2"/>
    <row r="1589" s="117" customFormat="1" x14ac:dyDescent="0.2"/>
    <row r="1590" s="117" customFormat="1" x14ac:dyDescent="0.2"/>
    <row r="1591" s="117" customFormat="1" x14ac:dyDescent="0.2"/>
    <row r="1592" s="117" customFormat="1" x14ac:dyDescent="0.2"/>
    <row r="1593" s="117" customFormat="1" x14ac:dyDescent="0.2"/>
    <row r="1594" s="117" customFormat="1" x14ac:dyDescent="0.2"/>
    <row r="1595" s="117" customFormat="1" x14ac:dyDescent="0.2"/>
    <row r="1596" s="117" customFormat="1" x14ac:dyDescent="0.2"/>
    <row r="1597" s="117" customFormat="1" x14ac:dyDescent="0.2"/>
    <row r="1598" s="117" customFormat="1" x14ac:dyDescent="0.2"/>
    <row r="1599" s="117" customFormat="1" x14ac:dyDescent="0.2"/>
    <row r="1600" s="117" customFormat="1" x14ac:dyDescent="0.2"/>
    <row r="1601" s="117" customFormat="1" x14ac:dyDescent="0.2"/>
    <row r="1602" s="117" customFormat="1" x14ac:dyDescent="0.2"/>
    <row r="1603" s="117" customFormat="1" x14ac:dyDescent="0.2"/>
    <row r="1604" s="117" customFormat="1" x14ac:dyDescent="0.2"/>
    <row r="1605" s="117" customFormat="1" x14ac:dyDescent="0.2"/>
    <row r="1606" s="117" customFormat="1" x14ac:dyDescent="0.2"/>
    <row r="1607" s="117" customFormat="1" x14ac:dyDescent="0.2"/>
    <row r="1608" s="117" customFormat="1" x14ac:dyDescent="0.2"/>
    <row r="1609" s="117" customFormat="1" x14ac:dyDescent="0.2"/>
    <row r="1610" s="117" customFormat="1" x14ac:dyDescent="0.2"/>
    <row r="1611" s="117" customFormat="1" x14ac:dyDescent="0.2"/>
    <row r="1612" s="117" customFormat="1" x14ac:dyDescent="0.2"/>
    <row r="1613" s="117" customFormat="1" x14ac:dyDescent="0.2"/>
    <row r="1614" s="117" customFormat="1" x14ac:dyDescent="0.2"/>
    <row r="1615" s="117" customFormat="1" x14ac:dyDescent="0.2"/>
    <row r="1616" s="117" customFormat="1" x14ac:dyDescent="0.2"/>
    <row r="1617" s="117" customFormat="1" x14ac:dyDescent="0.2"/>
    <row r="1618" s="117" customFormat="1" x14ac:dyDescent="0.2"/>
    <row r="1619" s="117" customFormat="1" x14ac:dyDescent="0.2"/>
    <row r="1620" s="117" customFormat="1" x14ac:dyDescent="0.2"/>
    <row r="1621" s="117" customFormat="1" x14ac:dyDescent="0.2"/>
    <row r="1622" s="117" customFormat="1" x14ac:dyDescent="0.2"/>
    <row r="1623" s="117" customFormat="1" x14ac:dyDescent="0.2"/>
    <row r="1624" s="117" customFormat="1" x14ac:dyDescent="0.2"/>
    <row r="1625" s="117" customFormat="1" x14ac:dyDescent="0.2"/>
    <row r="1626" s="117" customFormat="1" x14ac:dyDescent="0.2"/>
    <row r="1627" s="117" customFormat="1" x14ac:dyDescent="0.2"/>
    <row r="1628" s="117" customFormat="1" x14ac:dyDescent="0.2"/>
    <row r="1629" s="117" customFormat="1" x14ac:dyDescent="0.2"/>
    <row r="1630" s="117" customFormat="1" x14ac:dyDescent="0.2"/>
    <row r="1631" s="117" customFormat="1" x14ac:dyDescent="0.2"/>
    <row r="1632" s="117" customFormat="1" x14ac:dyDescent="0.2"/>
    <row r="1633" s="117" customFormat="1" x14ac:dyDescent="0.2"/>
    <row r="1634" s="117" customFormat="1" x14ac:dyDescent="0.2"/>
    <row r="1635" s="117" customFormat="1" x14ac:dyDescent="0.2"/>
    <row r="1636" s="117" customFormat="1" x14ac:dyDescent="0.2"/>
    <row r="1637" s="117" customFormat="1" x14ac:dyDescent="0.2"/>
    <row r="1638" s="117" customFormat="1" x14ac:dyDescent="0.2"/>
    <row r="1639" s="117" customFormat="1" x14ac:dyDescent="0.2"/>
    <row r="1640" s="117" customFormat="1" x14ac:dyDescent="0.2"/>
    <row r="1641" s="117" customFormat="1" x14ac:dyDescent="0.2"/>
    <row r="1642" s="117" customFormat="1" x14ac:dyDescent="0.2"/>
    <row r="1643" s="117" customFormat="1" x14ac:dyDescent="0.2"/>
    <row r="1644" s="117" customFormat="1" x14ac:dyDescent="0.2"/>
    <row r="1645" s="117" customFormat="1" x14ac:dyDescent="0.2"/>
    <row r="1646" s="117" customFormat="1" x14ac:dyDescent="0.2"/>
    <row r="1647" s="117" customFormat="1" x14ac:dyDescent="0.2"/>
    <row r="1648" s="117" customFormat="1" x14ac:dyDescent="0.2"/>
    <row r="1649" s="117" customFormat="1" x14ac:dyDescent="0.2"/>
    <row r="1650" s="117" customFormat="1" x14ac:dyDescent="0.2"/>
    <row r="1651" s="117" customFormat="1" x14ac:dyDescent="0.2"/>
    <row r="1652" s="117" customFormat="1" x14ac:dyDescent="0.2"/>
    <row r="1653" s="117" customFormat="1" x14ac:dyDescent="0.2"/>
    <row r="1654" s="117" customFormat="1" x14ac:dyDescent="0.2"/>
    <row r="1655" s="117" customFormat="1" x14ac:dyDescent="0.2"/>
    <row r="1656" s="117" customFormat="1" x14ac:dyDescent="0.2"/>
    <row r="1657" s="117" customFormat="1" x14ac:dyDescent="0.2"/>
    <row r="1658" s="117" customFormat="1" x14ac:dyDescent="0.2"/>
    <row r="1659" s="117" customFormat="1" x14ac:dyDescent="0.2"/>
    <row r="1660" s="117" customFormat="1" x14ac:dyDescent="0.2"/>
    <row r="1661" s="117" customFormat="1" x14ac:dyDescent="0.2"/>
    <row r="1662" s="117" customFormat="1" x14ac:dyDescent="0.2"/>
    <row r="1663" s="117" customFormat="1" x14ac:dyDescent="0.2"/>
    <row r="1664" s="117" customFormat="1" x14ac:dyDescent="0.2"/>
    <row r="1665" s="117" customFormat="1" x14ac:dyDescent="0.2"/>
    <row r="1666" s="117" customFormat="1" x14ac:dyDescent="0.2"/>
    <row r="1667" s="117" customFormat="1" x14ac:dyDescent="0.2"/>
    <row r="1668" s="117" customFormat="1" x14ac:dyDescent="0.2"/>
    <row r="1669" s="117" customFormat="1" x14ac:dyDescent="0.2"/>
    <row r="1670" s="117" customFormat="1" x14ac:dyDescent="0.2"/>
    <row r="1671" s="117" customFormat="1" x14ac:dyDescent="0.2"/>
    <row r="1672" s="117" customFormat="1" x14ac:dyDescent="0.2"/>
    <row r="1673" s="117" customFormat="1" x14ac:dyDescent="0.2"/>
    <row r="1674" s="117" customFormat="1" x14ac:dyDescent="0.2"/>
    <row r="1675" s="117" customFormat="1" x14ac:dyDescent="0.2"/>
    <row r="1676" s="117" customFormat="1" x14ac:dyDescent="0.2"/>
    <row r="1677" s="117" customFormat="1" x14ac:dyDescent="0.2"/>
    <row r="1678" s="117" customFormat="1" x14ac:dyDescent="0.2"/>
    <row r="1679" s="117" customFormat="1" x14ac:dyDescent="0.2"/>
    <row r="1680" s="117" customFormat="1" x14ac:dyDescent="0.2"/>
    <row r="1681" s="117" customFormat="1" x14ac:dyDescent="0.2"/>
    <row r="1682" s="117" customFormat="1" x14ac:dyDescent="0.2"/>
    <row r="1683" s="117" customFormat="1" x14ac:dyDescent="0.2"/>
    <row r="1684" s="117" customFormat="1" x14ac:dyDescent="0.2"/>
    <row r="1685" s="117" customFormat="1" x14ac:dyDescent="0.2"/>
    <row r="1686" s="117" customFormat="1" x14ac:dyDescent="0.2"/>
    <row r="1687" s="117" customFormat="1" x14ac:dyDescent="0.2"/>
    <row r="1688" s="117" customFormat="1" x14ac:dyDescent="0.2"/>
    <row r="1689" s="117" customFormat="1" x14ac:dyDescent="0.2"/>
    <row r="1690" s="117" customFormat="1" x14ac:dyDescent="0.2"/>
    <row r="1691" s="117" customFormat="1" x14ac:dyDescent="0.2"/>
    <row r="1692" s="117" customFormat="1" x14ac:dyDescent="0.2"/>
    <row r="1693" s="117" customFormat="1" x14ac:dyDescent="0.2"/>
    <row r="1694" s="117" customFormat="1" x14ac:dyDescent="0.2"/>
    <row r="1695" s="117" customFormat="1" x14ac:dyDescent="0.2"/>
    <row r="1696" s="117" customFormat="1" x14ac:dyDescent="0.2"/>
    <row r="1697" s="117" customFormat="1" x14ac:dyDescent="0.2"/>
    <row r="1698" s="117" customFormat="1" x14ac:dyDescent="0.2"/>
    <row r="1699" s="117" customFormat="1" x14ac:dyDescent="0.2"/>
    <row r="1700" s="117" customFormat="1" x14ac:dyDescent="0.2"/>
    <row r="1701" s="117" customFormat="1" x14ac:dyDescent="0.2"/>
    <row r="1702" s="117" customFormat="1" x14ac:dyDescent="0.2"/>
    <row r="1703" s="117" customFormat="1" x14ac:dyDescent="0.2"/>
    <row r="1704" s="117" customFormat="1" x14ac:dyDescent="0.2"/>
    <row r="1705" s="117" customFormat="1" x14ac:dyDescent="0.2"/>
    <row r="1706" s="117" customFormat="1" x14ac:dyDescent="0.2"/>
    <row r="1707" s="117" customFormat="1" x14ac:dyDescent="0.2"/>
    <row r="1708" s="117" customFormat="1" x14ac:dyDescent="0.2"/>
    <row r="1709" s="117" customFormat="1" x14ac:dyDescent="0.2"/>
    <row r="1710" s="117" customFormat="1" x14ac:dyDescent="0.2"/>
    <row r="1711" s="117" customFormat="1" x14ac:dyDescent="0.2"/>
    <row r="1712" s="117" customFormat="1" x14ac:dyDescent="0.2"/>
    <row r="1713" s="117" customFormat="1" x14ac:dyDescent="0.2"/>
    <row r="1714" s="117" customFormat="1" x14ac:dyDescent="0.2"/>
    <row r="1715" s="117" customFormat="1" x14ac:dyDescent="0.2"/>
    <row r="1716" s="117" customFormat="1" x14ac:dyDescent="0.2"/>
    <row r="1717" s="117" customFormat="1" x14ac:dyDescent="0.2"/>
    <row r="1718" s="117" customFormat="1" x14ac:dyDescent="0.2"/>
    <row r="1719" s="117" customFormat="1" x14ac:dyDescent="0.2"/>
    <row r="1720" s="117" customFormat="1" x14ac:dyDescent="0.2"/>
    <row r="1721" s="117" customFormat="1" x14ac:dyDescent="0.2"/>
    <row r="1722" s="117" customFormat="1" x14ac:dyDescent="0.2"/>
    <row r="1723" s="117" customFormat="1" x14ac:dyDescent="0.2"/>
    <row r="1724" s="117" customFormat="1" x14ac:dyDescent="0.2"/>
    <row r="1725" s="117" customFormat="1" x14ac:dyDescent="0.2"/>
    <row r="1726" s="117" customFormat="1" x14ac:dyDescent="0.2"/>
    <row r="1727" s="117" customFormat="1" x14ac:dyDescent="0.2"/>
    <row r="1728" s="117" customFormat="1" x14ac:dyDescent="0.2"/>
    <row r="1729" s="117" customFormat="1" x14ac:dyDescent="0.2"/>
    <row r="1730" s="117" customFormat="1" x14ac:dyDescent="0.2"/>
    <row r="1731" s="117" customFormat="1" x14ac:dyDescent="0.2"/>
    <row r="1732" s="117" customFormat="1" x14ac:dyDescent="0.2"/>
    <row r="1733" s="117" customFormat="1" x14ac:dyDescent="0.2"/>
    <row r="1734" s="117" customFormat="1" x14ac:dyDescent="0.2"/>
    <row r="1735" s="117" customFormat="1" x14ac:dyDescent="0.2"/>
    <row r="1736" s="117" customFormat="1" x14ac:dyDescent="0.2"/>
    <row r="1737" s="117" customFormat="1" x14ac:dyDescent="0.2"/>
    <row r="1738" s="117" customFormat="1" x14ac:dyDescent="0.2"/>
    <row r="1739" s="117" customFormat="1" x14ac:dyDescent="0.2"/>
    <row r="1740" s="117" customFormat="1" x14ac:dyDescent="0.2"/>
    <row r="1741" s="117" customFormat="1" x14ac:dyDescent="0.2"/>
    <row r="1742" s="117" customFormat="1" x14ac:dyDescent="0.2"/>
    <row r="1743" s="117" customFormat="1" x14ac:dyDescent="0.2"/>
    <row r="1744" s="117" customFormat="1" x14ac:dyDescent="0.2"/>
    <row r="1745" s="117" customFormat="1" x14ac:dyDescent="0.2"/>
    <row r="1746" s="117" customFormat="1" x14ac:dyDescent="0.2"/>
    <row r="1747" s="117" customFormat="1" x14ac:dyDescent="0.2"/>
    <row r="1748" s="117" customFormat="1" x14ac:dyDescent="0.2"/>
    <row r="1749" s="117" customFormat="1" x14ac:dyDescent="0.2"/>
    <row r="1750" s="117" customFormat="1" x14ac:dyDescent="0.2"/>
    <row r="1751" s="117" customFormat="1" x14ac:dyDescent="0.2"/>
    <row r="1752" s="117" customFormat="1" x14ac:dyDescent="0.2"/>
    <row r="1753" s="117" customFormat="1" x14ac:dyDescent="0.2"/>
    <row r="1754" s="117" customFormat="1" x14ac:dyDescent="0.2"/>
    <row r="1755" s="117" customFormat="1" x14ac:dyDescent="0.2"/>
    <row r="1756" s="117" customFormat="1" x14ac:dyDescent="0.2"/>
    <row r="1757" s="117" customFormat="1" x14ac:dyDescent="0.2"/>
    <row r="1758" s="117" customFormat="1" x14ac:dyDescent="0.2"/>
    <row r="1759" s="117" customFormat="1" x14ac:dyDescent="0.2"/>
    <row r="1760" s="117" customFormat="1" x14ac:dyDescent="0.2"/>
    <row r="1761" s="117" customFormat="1" x14ac:dyDescent="0.2"/>
    <row r="1762" s="117" customFormat="1" x14ac:dyDescent="0.2"/>
    <row r="1763" s="117" customFormat="1" x14ac:dyDescent="0.2"/>
    <row r="1764" s="117" customFormat="1" x14ac:dyDescent="0.2"/>
    <row r="1765" s="117" customFormat="1" x14ac:dyDescent="0.2"/>
    <row r="1766" s="117" customFormat="1" x14ac:dyDescent="0.2"/>
    <row r="1767" s="117" customFormat="1" x14ac:dyDescent="0.2"/>
    <row r="1768" s="117" customFormat="1" x14ac:dyDescent="0.2"/>
    <row r="1769" s="117" customFormat="1" x14ac:dyDescent="0.2"/>
    <row r="1770" s="117" customFormat="1" x14ac:dyDescent="0.2"/>
    <row r="1771" s="117" customFormat="1" x14ac:dyDescent="0.2"/>
    <row r="1772" s="117" customFormat="1" x14ac:dyDescent="0.2"/>
    <row r="1773" s="117" customFormat="1" x14ac:dyDescent="0.2"/>
    <row r="1774" s="117" customFormat="1" x14ac:dyDescent="0.2"/>
    <row r="1775" s="117" customFormat="1" x14ac:dyDescent="0.2"/>
    <row r="1776" s="117" customFormat="1" x14ac:dyDescent="0.2"/>
    <row r="1777" s="117" customFormat="1" x14ac:dyDescent="0.2"/>
    <row r="1778" s="117" customFormat="1" x14ac:dyDescent="0.2"/>
    <row r="1779" s="117" customFormat="1" x14ac:dyDescent="0.2"/>
    <row r="1780" s="117" customFormat="1" x14ac:dyDescent="0.2"/>
    <row r="1781" s="117" customFormat="1" x14ac:dyDescent="0.2"/>
    <row r="1782" s="117" customFormat="1" x14ac:dyDescent="0.2"/>
    <row r="1783" s="117" customFormat="1" x14ac:dyDescent="0.2"/>
    <row r="1784" s="117" customFormat="1" x14ac:dyDescent="0.2"/>
    <row r="1785" s="117" customFormat="1" x14ac:dyDescent="0.2"/>
    <row r="1786" s="117" customFormat="1" x14ac:dyDescent="0.2"/>
    <row r="1787" s="117" customFormat="1" x14ac:dyDescent="0.2"/>
    <row r="1788" s="117" customFormat="1" x14ac:dyDescent="0.2"/>
    <row r="1789" s="117" customFormat="1" x14ac:dyDescent="0.2"/>
    <row r="1790" s="117" customFormat="1" x14ac:dyDescent="0.2"/>
    <row r="1791" s="117" customFormat="1" x14ac:dyDescent="0.2"/>
    <row r="1792" s="117" customFormat="1" x14ac:dyDescent="0.2"/>
    <row r="1793" s="117" customFormat="1" x14ac:dyDescent="0.2"/>
    <row r="1794" s="117" customFormat="1" x14ac:dyDescent="0.2"/>
    <row r="1795" s="117" customFormat="1" x14ac:dyDescent="0.2"/>
    <row r="1796" s="117" customFormat="1" x14ac:dyDescent="0.2"/>
    <row r="1797" s="117" customFormat="1" x14ac:dyDescent="0.2"/>
    <row r="1798" s="117" customFormat="1" x14ac:dyDescent="0.2"/>
    <row r="1799" s="117" customFormat="1" x14ac:dyDescent="0.2"/>
    <row r="1800" s="117" customFormat="1" x14ac:dyDescent="0.2"/>
    <row r="1801" s="117" customFormat="1" x14ac:dyDescent="0.2"/>
    <row r="1802" s="117" customFormat="1" x14ac:dyDescent="0.2"/>
    <row r="1803" s="117" customFormat="1" x14ac:dyDescent="0.2"/>
    <row r="1804" s="117" customFormat="1" x14ac:dyDescent="0.2"/>
    <row r="1805" s="117" customFormat="1" x14ac:dyDescent="0.2"/>
    <row r="1806" s="117" customFormat="1" x14ac:dyDescent="0.2"/>
    <row r="1807" s="117" customFormat="1" x14ac:dyDescent="0.2"/>
    <row r="1808" s="117" customFormat="1" x14ac:dyDescent="0.2"/>
    <row r="1809" s="117" customFormat="1" x14ac:dyDescent="0.2"/>
    <row r="1810" s="117" customFormat="1" x14ac:dyDescent="0.2"/>
    <row r="1811" s="117" customFormat="1" x14ac:dyDescent="0.2"/>
    <row r="1812" s="117" customFormat="1" x14ac:dyDescent="0.2"/>
    <row r="1813" s="117" customFormat="1" x14ac:dyDescent="0.2"/>
    <row r="1814" s="117" customFormat="1" x14ac:dyDescent="0.2"/>
    <row r="1815" s="117" customFormat="1" x14ac:dyDescent="0.2"/>
    <row r="1816" s="117" customFormat="1" x14ac:dyDescent="0.2"/>
    <row r="1817" s="117" customFormat="1" x14ac:dyDescent="0.2"/>
    <row r="1818" s="117" customFormat="1" x14ac:dyDescent="0.2"/>
    <row r="1819" s="117" customFormat="1" x14ac:dyDescent="0.2"/>
    <row r="1820" s="117" customFormat="1" x14ac:dyDescent="0.2"/>
    <row r="1821" s="117" customFormat="1" x14ac:dyDescent="0.2"/>
    <row r="1822" s="117" customFormat="1" x14ac:dyDescent="0.2"/>
    <row r="1823" s="117" customFormat="1" x14ac:dyDescent="0.2"/>
    <row r="1824" s="117" customFormat="1" x14ac:dyDescent="0.2"/>
    <row r="1825" s="117" customFormat="1" x14ac:dyDescent="0.2"/>
    <row r="1826" s="117" customFormat="1" x14ac:dyDescent="0.2"/>
    <row r="1827" s="117" customFormat="1" x14ac:dyDescent="0.2"/>
    <row r="1828" s="117" customFormat="1" x14ac:dyDescent="0.2"/>
    <row r="1829" s="117" customFormat="1" x14ac:dyDescent="0.2"/>
    <row r="1830" s="117" customFormat="1" x14ac:dyDescent="0.2"/>
    <row r="1831" s="117" customFormat="1" x14ac:dyDescent="0.2"/>
    <row r="1832" s="117" customFormat="1" x14ac:dyDescent="0.2"/>
    <row r="1833" s="117" customFormat="1" x14ac:dyDescent="0.2"/>
    <row r="1834" s="117" customFormat="1" x14ac:dyDescent="0.2"/>
    <row r="1835" s="117" customFormat="1" x14ac:dyDescent="0.2"/>
    <row r="1836" s="117" customFormat="1" x14ac:dyDescent="0.2"/>
    <row r="1837" s="117" customFormat="1" x14ac:dyDescent="0.2"/>
    <row r="1838" s="117" customFormat="1" x14ac:dyDescent="0.2"/>
    <row r="1839" s="117" customFormat="1" x14ac:dyDescent="0.2"/>
    <row r="1840" s="117" customFormat="1" x14ac:dyDescent="0.2"/>
    <row r="1841" s="117" customFormat="1" x14ac:dyDescent="0.2"/>
    <row r="1842" s="117" customFormat="1" x14ac:dyDescent="0.2"/>
    <row r="1843" s="117" customFormat="1" x14ac:dyDescent="0.2"/>
    <row r="1844" s="117" customFormat="1" x14ac:dyDescent="0.2"/>
    <row r="1845" s="117" customFormat="1" x14ac:dyDescent="0.2"/>
    <row r="1846" s="117" customFormat="1" x14ac:dyDescent="0.2"/>
    <row r="1847" s="117" customFormat="1" x14ac:dyDescent="0.2"/>
    <row r="1848" s="117" customFormat="1" x14ac:dyDescent="0.2"/>
    <row r="1849" s="117" customFormat="1" x14ac:dyDescent="0.2"/>
    <row r="1850" s="117" customFormat="1" x14ac:dyDescent="0.2"/>
    <row r="1851" s="117" customFormat="1" x14ac:dyDescent="0.2"/>
    <row r="1852" s="117" customFormat="1" x14ac:dyDescent="0.2"/>
    <row r="1853" s="117" customFormat="1" x14ac:dyDescent="0.2"/>
    <row r="1854" s="117" customFormat="1" x14ac:dyDescent="0.2"/>
    <row r="1855" s="117" customFormat="1" x14ac:dyDescent="0.2"/>
    <row r="1856" s="117" customFormat="1" x14ac:dyDescent="0.2"/>
    <row r="1857" s="117" customFormat="1" x14ac:dyDescent="0.2"/>
    <row r="1858" s="117" customFormat="1" x14ac:dyDescent="0.2"/>
    <row r="1859" s="117" customFormat="1" x14ac:dyDescent="0.2"/>
    <row r="1860" s="117" customFormat="1" x14ac:dyDescent="0.2"/>
    <row r="1861" s="117" customFormat="1" x14ac:dyDescent="0.2"/>
    <row r="1862" s="117" customFormat="1" x14ac:dyDescent="0.2"/>
    <row r="1863" s="117" customFormat="1" x14ac:dyDescent="0.2"/>
    <row r="1864" s="117" customFormat="1" x14ac:dyDescent="0.2"/>
    <row r="1865" s="117" customFormat="1" x14ac:dyDescent="0.2"/>
    <row r="1866" s="117" customFormat="1" x14ac:dyDescent="0.2"/>
    <row r="1867" s="117" customFormat="1" x14ac:dyDescent="0.2"/>
    <row r="1868" s="117" customFormat="1" x14ac:dyDescent="0.2"/>
    <row r="1869" s="117" customFormat="1" x14ac:dyDescent="0.2"/>
    <row r="1870" s="117" customFormat="1" x14ac:dyDescent="0.2"/>
    <row r="1871" s="117" customFormat="1" x14ac:dyDescent="0.2"/>
    <row r="1872" s="117" customFormat="1" x14ac:dyDescent="0.2"/>
    <row r="1873" s="117" customFormat="1" x14ac:dyDescent="0.2"/>
    <row r="1874" s="117" customFormat="1" x14ac:dyDescent="0.2"/>
    <row r="1875" s="117" customFormat="1" x14ac:dyDescent="0.2"/>
    <row r="1876" s="117" customFormat="1" x14ac:dyDescent="0.2"/>
    <row r="1877" s="117" customFormat="1" x14ac:dyDescent="0.2"/>
    <row r="1878" s="117" customFormat="1" x14ac:dyDescent="0.2"/>
    <row r="1879" s="117" customFormat="1" x14ac:dyDescent="0.2"/>
    <row r="1880" s="117" customFormat="1" x14ac:dyDescent="0.2"/>
    <row r="1881" s="117" customFormat="1" x14ac:dyDescent="0.2"/>
    <row r="1882" s="117" customFormat="1" x14ac:dyDescent="0.2"/>
    <row r="1883" s="117" customFormat="1" x14ac:dyDescent="0.2"/>
    <row r="1884" s="117" customFormat="1" x14ac:dyDescent="0.2"/>
    <row r="1885" s="117" customFormat="1" x14ac:dyDescent="0.2"/>
    <row r="1886" s="117" customFormat="1" x14ac:dyDescent="0.2"/>
    <row r="1887" s="117" customFormat="1" x14ac:dyDescent="0.2"/>
    <row r="1888" s="117" customFormat="1" x14ac:dyDescent="0.2"/>
    <row r="1889" s="117" customFormat="1" x14ac:dyDescent="0.2"/>
    <row r="1890" s="117" customFormat="1" x14ac:dyDescent="0.2"/>
    <row r="1891" s="117" customFormat="1" x14ac:dyDescent="0.2"/>
    <row r="1892" s="117" customFormat="1" x14ac:dyDescent="0.2"/>
    <row r="1893" s="117" customFormat="1" x14ac:dyDescent="0.2"/>
    <row r="1894" s="117" customFormat="1" x14ac:dyDescent="0.2"/>
    <row r="1895" s="117" customFormat="1" x14ac:dyDescent="0.2"/>
    <row r="1896" s="117" customFormat="1" x14ac:dyDescent="0.2"/>
    <row r="1897" s="117" customFormat="1" x14ac:dyDescent="0.2"/>
    <row r="1898" s="117" customFormat="1" x14ac:dyDescent="0.2"/>
    <row r="1899" s="117" customFormat="1" x14ac:dyDescent="0.2"/>
    <row r="1900" s="117" customFormat="1" x14ac:dyDescent="0.2"/>
    <row r="1901" s="117" customFormat="1" x14ac:dyDescent="0.2"/>
    <row r="1902" s="117" customFormat="1" x14ac:dyDescent="0.2"/>
    <row r="1903" s="117" customFormat="1" x14ac:dyDescent="0.2"/>
    <row r="1904" s="117" customFormat="1" x14ac:dyDescent="0.2"/>
    <row r="1905" s="117" customFormat="1" x14ac:dyDescent="0.2"/>
    <row r="1906" s="117" customFormat="1" x14ac:dyDescent="0.2"/>
    <row r="1907" s="117" customFormat="1" x14ac:dyDescent="0.2"/>
    <row r="1908" s="117" customFormat="1" x14ac:dyDescent="0.2"/>
    <row r="1909" s="117" customFormat="1" x14ac:dyDescent="0.2"/>
    <row r="1910" s="117" customFormat="1" x14ac:dyDescent="0.2"/>
    <row r="1911" s="117" customFormat="1" x14ac:dyDescent="0.2"/>
    <row r="1912" s="117" customFormat="1" x14ac:dyDescent="0.2"/>
    <row r="1913" s="117" customFormat="1" x14ac:dyDescent="0.2"/>
    <row r="1914" s="117" customFormat="1" x14ac:dyDescent="0.2"/>
    <row r="1915" s="117" customFormat="1" x14ac:dyDescent="0.2"/>
    <row r="1916" s="117" customFormat="1" x14ac:dyDescent="0.2"/>
    <row r="1917" s="117" customFormat="1" x14ac:dyDescent="0.2"/>
    <row r="1918" s="117" customFormat="1" x14ac:dyDescent="0.2"/>
    <row r="1919" s="117" customFormat="1" x14ac:dyDescent="0.2"/>
    <row r="1920" s="117" customFormat="1" x14ac:dyDescent="0.2"/>
    <row r="1921" s="117" customFormat="1" x14ac:dyDescent="0.2"/>
    <row r="1922" s="117" customFormat="1" x14ac:dyDescent="0.2"/>
    <row r="1923" s="117" customFormat="1" x14ac:dyDescent="0.2"/>
    <row r="1924" s="117" customFormat="1" x14ac:dyDescent="0.2"/>
    <row r="1925" s="117" customFormat="1" x14ac:dyDescent="0.2"/>
    <row r="1926" s="117" customFormat="1" x14ac:dyDescent="0.2"/>
    <row r="1927" s="117" customFormat="1" x14ac:dyDescent="0.2"/>
    <row r="1928" s="117" customFormat="1" x14ac:dyDescent="0.2"/>
    <row r="1929" s="117" customFormat="1" x14ac:dyDescent="0.2"/>
    <row r="1930" s="117" customFormat="1" x14ac:dyDescent="0.2"/>
    <row r="1931" s="117" customFormat="1" x14ac:dyDescent="0.2"/>
    <row r="1932" s="117" customFormat="1" x14ac:dyDescent="0.2"/>
    <row r="1933" s="117" customFormat="1" x14ac:dyDescent="0.2"/>
    <row r="1934" s="117" customFormat="1" x14ac:dyDescent="0.2"/>
    <row r="1935" s="117" customFormat="1" x14ac:dyDescent="0.2"/>
    <row r="1936" s="117" customFormat="1" x14ac:dyDescent="0.2"/>
    <row r="1937" s="117" customFormat="1" x14ac:dyDescent="0.2"/>
    <row r="1938" s="117" customFormat="1" x14ac:dyDescent="0.2"/>
    <row r="1939" s="117" customFormat="1" x14ac:dyDescent="0.2"/>
    <row r="1940" s="117" customFormat="1" x14ac:dyDescent="0.2"/>
    <row r="1941" s="117" customFormat="1" x14ac:dyDescent="0.2"/>
    <row r="1942" s="117" customFormat="1" x14ac:dyDescent="0.2"/>
    <row r="1943" s="117" customFormat="1" x14ac:dyDescent="0.2"/>
    <row r="1944" s="117" customFormat="1" x14ac:dyDescent="0.2"/>
    <row r="1945" s="117" customFormat="1" x14ac:dyDescent="0.2"/>
    <row r="1946" s="117" customFormat="1" x14ac:dyDescent="0.2"/>
    <row r="1947" s="117" customFormat="1" x14ac:dyDescent="0.2"/>
    <row r="1948" s="117" customFormat="1" x14ac:dyDescent="0.2"/>
    <row r="1949" s="117" customFormat="1" x14ac:dyDescent="0.2"/>
    <row r="1950" s="117" customFormat="1" x14ac:dyDescent="0.2"/>
    <row r="1951" s="117" customFormat="1" x14ac:dyDescent="0.2"/>
    <row r="1952" s="117" customFormat="1" x14ac:dyDescent="0.2"/>
    <row r="1953" s="117" customFormat="1" x14ac:dyDescent="0.2"/>
    <row r="1954" s="117" customFormat="1" x14ac:dyDescent="0.2"/>
    <row r="1955" s="117" customFormat="1" x14ac:dyDescent="0.2"/>
    <row r="1956" s="117" customFormat="1" x14ac:dyDescent="0.2"/>
    <row r="1957" s="117" customFormat="1" x14ac:dyDescent="0.2"/>
    <row r="1958" s="117" customFormat="1" x14ac:dyDescent="0.2"/>
    <row r="1959" s="117" customFormat="1" x14ac:dyDescent="0.2"/>
    <row r="1960" s="117" customFormat="1" x14ac:dyDescent="0.2"/>
    <row r="1961" s="117" customFormat="1" x14ac:dyDescent="0.2"/>
    <row r="1962" s="117" customFormat="1" x14ac:dyDescent="0.2"/>
    <row r="1963" s="117" customFormat="1" x14ac:dyDescent="0.2"/>
    <row r="1964" s="117" customFormat="1" x14ac:dyDescent="0.2"/>
    <row r="1965" s="117" customFormat="1" x14ac:dyDescent="0.2"/>
    <row r="1966" s="117" customFormat="1" x14ac:dyDescent="0.2"/>
    <row r="1967" s="117" customFormat="1" x14ac:dyDescent="0.2"/>
    <row r="1968" s="117" customFormat="1" x14ac:dyDescent="0.2"/>
    <row r="1969" s="117" customFormat="1" x14ac:dyDescent="0.2"/>
    <row r="1970" s="117" customFormat="1" x14ac:dyDescent="0.2"/>
    <row r="1971" s="117" customFormat="1" x14ac:dyDescent="0.2"/>
    <row r="1972" s="117" customFormat="1" x14ac:dyDescent="0.2"/>
    <row r="1973" s="117" customFormat="1" x14ac:dyDescent="0.2"/>
    <row r="1974" s="117" customFormat="1" x14ac:dyDescent="0.2"/>
    <row r="1975" s="117" customFormat="1" x14ac:dyDescent="0.2"/>
    <row r="1976" s="117" customFormat="1" x14ac:dyDescent="0.2"/>
    <row r="1977" s="117" customFormat="1" x14ac:dyDescent="0.2"/>
    <row r="1978" s="117" customFormat="1" x14ac:dyDescent="0.2"/>
    <row r="1979" s="117" customFormat="1" x14ac:dyDescent="0.2"/>
    <row r="1980" s="117" customFormat="1" x14ac:dyDescent="0.2"/>
    <row r="1981" s="117" customFormat="1" x14ac:dyDescent="0.2"/>
    <row r="1982" s="117" customFormat="1" x14ac:dyDescent="0.2"/>
    <row r="1983" s="117" customFormat="1" x14ac:dyDescent="0.2"/>
    <row r="1984" s="117" customFormat="1" x14ac:dyDescent="0.2"/>
    <row r="1985" s="117" customFormat="1" x14ac:dyDescent="0.2"/>
    <row r="1986" s="117" customFormat="1" x14ac:dyDescent="0.2"/>
    <row r="1987" s="117" customFormat="1" x14ac:dyDescent="0.2"/>
    <row r="1988" s="117" customFormat="1" x14ac:dyDescent="0.2"/>
    <row r="1989" s="117" customFormat="1" x14ac:dyDescent="0.2"/>
    <row r="1990" s="117" customFormat="1" x14ac:dyDescent="0.2"/>
    <row r="1991" s="117" customFormat="1" x14ac:dyDescent="0.2"/>
    <row r="1992" s="117" customFormat="1" x14ac:dyDescent="0.2"/>
    <row r="1993" s="117" customFormat="1" x14ac:dyDescent="0.2"/>
    <row r="1994" s="117" customFormat="1" x14ac:dyDescent="0.2"/>
    <row r="1995" s="117" customFormat="1" x14ac:dyDescent="0.2"/>
    <row r="1996" s="117" customFormat="1" x14ac:dyDescent="0.2"/>
    <row r="1997" s="117" customFormat="1" x14ac:dyDescent="0.2"/>
    <row r="1998" s="117" customFormat="1" x14ac:dyDescent="0.2"/>
    <row r="1999" s="117" customFormat="1" x14ac:dyDescent="0.2"/>
    <row r="2000" s="117" customFormat="1" x14ac:dyDescent="0.2"/>
    <row r="2001" s="117" customFormat="1" x14ac:dyDescent="0.2"/>
    <row r="2002" s="117" customFormat="1" x14ac:dyDescent="0.2"/>
    <row r="2003" s="117" customFormat="1" x14ac:dyDescent="0.2"/>
    <row r="2004" s="117" customFormat="1" x14ac:dyDescent="0.2"/>
    <row r="2005" s="117" customFormat="1" x14ac:dyDescent="0.2"/>
    <row r="2006" s="117" customFormat="1" x14ac:dyDescent="0.2"/>
    <row r="2007" s="117" customFormat="1" x14ac:dyDescent="0.2"/>
    <row r="2008" s="117" customFormat="1" x14ac:dyDescent="0.2"/>
    <row r="2009" s="117" customFormat="1" x14ac:dyDescent="0.2"/>
    <row r="2010" s="117" customFormat="1" x14ac:dyDescent="0.2"/>
    <row r="2011" s="117" customFormat="1" x14ac:dyDescent="0.2"/>
    <row r="2012" s="117" customFormat="1" x14ac:dyDescent="0.2"/>
    <row r="2013" s="117" customFormat="1" x14ac:dyDescent="0.2"/>
    <row r="2014" s="117" customFormat="1" x14ac:dyDescent="0.2"/>
    <row r="2015" s="117" customFormat="1" x14ac:dyDescent="0.2"/>
    <row r="2016" s="117" customFormat="1" x14ac:dyDescent="0.2"/>
    <row r="2017" s="117" customFormat="1" x14ac:dyDescent="0.2"/>
    <row r="2018" s="117" customFormat="1" x14ac:dyDescent="0.2"/>
    <row r="2019" s="117" customFormat="1" x14ac:dyDescent="0.2"/>
    <row r="2020" s="117" customFormat="1" x14ac:dyDescent="0.2"/>
    <row r="2021" s="117" customFormat="1" x14ac:dyDescent="0.2"/>
    <row r="2022" s="117" customFormat="1" x14ac:dyDescent="0.2"/>
    <row r="2023" s="117" customFormat="1" x14ac:dyDescent="0.2"/>
    <row r="2024" s="117" customFormat="1" x14ac:dyDescent="0.2"/>
    <row r="2025" s="117" customFormat="1" x14ac:dyDescent="0.2"/>
    <row r="2026" s="117" customFormat="1" x14ac:dyDescent="0.2"/>
    <row r="2027" s="117" customFormat="1" x14ac:dyDescent="0.2"/>
    <row r="2028" s="117" customFormat="1" x14ac:dyDescent="0.2"/>
    <row r="2029" s="117" customFormat="1" x14ac:dyDescent="0.2"/>
    <row r="2030" s="117" customFormat="1" x14ac:dyDescent="0.2"/>
    <row r="2031" s="117" customFormat="1" x14ac:dyDescent="0.2"/>
    <row r="2032" s="117" customFormat="1" x14ac:dyDescent="0.2"/>
    <row r="2033" s="117" customFormat="1" x14ac:dyDescent="0.2"/>
    <row r="2034" s="117" customFormat="1" x14ac:dyDescent="0.2"/>
    <row r="2035" s="117" customFormat="1" x14ac:dyDescent="0.2"/>
    <row r="2036" s="117" customFormat="1" x14ac:dyDescent="0.2"/>
    <row r="2037" s="117" customFormat="1" x14ac:dyDescent="0.2"/>
    <row r="2038" s="117" customFormat="1" x14ac:dyDescent="0.2"/>
    <row r="2039" s="117" customFormat="1" x14ac:dyDescent="0.2"/>
    <row r="2040" s="117" customFormat="1" x14ac:dyDescent="0.2"/>
    <row r="2041" s="117" customFormat="1" x14ac:dyDescent="0.2"/>
    <row r="2042" s="117" customFormat="1" x14ac:dyDescent="0.2"/>
    <row r="2043" s="117" customFormat="1" x14ac:dyDescent="0.2"/>
    <row r="2044" s="117" customFormat="1" x14ac:dyDescent="0.2"/>
    <row r="2045" s="117" customFormat="1" x14ac:dyDescent="0.2"/>
    <row r="2046" s="117" customFormat="1" x14ac:dyDescent="0.2"/>
    <row r="2047" s="117" customFormat="1" x14ac:dyDescent="0.2"/>
    <row r="2048" s="117" customFormat="1" x14ac:dyDescent="0.2"/>
    <row r="2049" s="117" customFormat="1" x14ac:dyDescent="0.2"/>
    <row r="2050" s="117" customFormat="1" x14ac:dyDescent="0.2"/>
    <row r="2051" s="117" customFormat="1" x14ac:dyDescent="0.2"/>
    <row r="2052" s="117" customFormat="1" x14ac:dyDescent="0.2"/>
    <row r="2053" s="117" customFormat="1" x14ac:dyDescent="0.2"/>
    <row r="2054" s="117" customFormat="1" x14ac:dyDescent="0.2"/>
    <row r="2055" s="117" customFormat="1" x14ac:dyDescent="0.2"/>
    <row r="2056" s="117" customFormat="1" x14ac:dyDescent="0.2"/>
    <row r="2057" s="117" customFormat="1" x14ac:dyDescent="0.2"/>
    <row r="2058" s="117" customFormat="1" x14ac:dyDescent="0.2"/>
    <row r="2059" s="117" customFormat="1" x14ac:dyDescent="0.2"/>
    <row r="2060" s="117" customFormat="1" x14ac:dyDescent="0.2"/>
    <row r="2061" s="117" customFormat="1" x14ac:dyDescent="0.2"/>
    <row r="2062" s="117" customFormat="1" x14ac:dyDescent="0.2"/>
    <row r="2063" s="117" customFormat="1" x14ac:dyDescent="0.2"/>
    <row r="2064" s="117" customFormat="1" x14ac:dyDescent="0.2"/>
    <row r="2065" s="117" customFormat="1" x14ac:dyDescent="0.2"/>
    <row r="2066" s="117" customFormat="1" x14ac:dyDescent="0.2"/>
    <row r="2067" s="117" customFormat="1" x14ac:dyDescent="0.2"/>
    <row r="2068" s="117" customFormat="1" x14ac:dyDescent="0.2"/>
    <row r="2069" s="117" customFormat="1" x14ac:dyDescent="0.2"/>
    <row r="2070" s="117" customFormat="1" x14ac:dyDescent="0.2"/>
    <row r="2071" s="117" customFormat="1" x14ac:dyDescent="0.2"/>
    <row r="2072" s="117" customFormat="1" x14ac:dyDescent="0.2"/>
    <row r="2073" s="117" customFormat="1" x14ac:dyDescent="0.2"/>
    <row r="2074" s="117" customFormat="1" x14ac:dyDescent="0.2"/>
    <row r="2075" s="117" customFormat="1" x14ac:dyDescent="0.2"/>
    <row r="2076" s="117" customFormat="1" x14ac:dyDescent="0.2"/>
    <row r="2077" s="117" customFormat="1" x14ac:dyDescent="0.2"/>
    <row r="2078" s="117" customFormat="1" x14ac:dyDescent="0.2"/>
    <row r="2079" s="117" customFormat="1" x14ac:dyDescent="0.2"/>
    <row r="2080" s="117" customFormat="1" x14ac:dyDescent="0.2"/>
    <row r="2081" s="117" customFormat="1" x14ac:dyDescent="0.2"/>
    <row r="2082" s="117" customFormat="1" x14ac:dyDescent="0.2"/>
    <row r="2083" s="117" customFormat="1" x14ac:dyDescent="0.2"/>
    <row r="2084" s="117" customFormat="1" x14ac:dyDescent="0.2"/>
    <row r="2085" s="117" customFormat="1" x14ac:dyDescent="0.2"/>
    <row r="2086" s="117" customFormat="1" x14ac:dyDescent="0.2"/>
    <row r="2087" s="117" customFormat="1" x14ac:dyDescent="0.2"/>
    <row r="2088" s="117" customFormat="1" x14ac:dyDescent="0.2"/>
    <row r="2089" s="117" customFormat="1" x14ac:dyDescent="0.2"/>
    <row r="2090" s="117" customFormat="1" x14ac:dyDescent="0.2"/>
    <row r="2091" s="117" customFormat="1" x14ac:dyDescent="0.2"/>
    <row r="2092" s="117" customFormat="1" x14ac:dyDescent="0.2"/>
    <row r="2093" s="117" customFormat="1" x14ac:dyDescent="0.2"/>
    <row r="2094" s="117" customFormat="1" x14ac:dyDescent="0.2"/>
    <row r="2095" s="117" customFormat="1" x14ac:dyDescent="0.2"/>
    <row r="2096" s="117" customFormat="1" x14ac:dyDescent="0.2"/>
    <row r="2097" s="117" customFormat="1" x14ac:dyDescent="0.2"/>
    <row r="2098" s="117" customFormat="1" x14ac:dyDescent="0.2"/>
    <row r="2099" s="117" customFormat="1" x14ac:dyDescent="0.2"/>
    <row r="2100" s="117" customFormat="1" x14ac:dyDescent="0.2"/>
    <row r="2101" s="117" customFormat="1" x14ac:dyDescent="0.2"/>
    <row r="2102" s="117" customFormat="1" x14ac:dyDescent="0.2"/>
    <row r="2103" s="117" customFormat="1" x14ac:dyDescent="0.2"/>
    <row r="2104" s="117" customFormat="1" x14ac:dyDescent="0.2"/>
    <row r="2105" s="117" customFormat="1" x14ac:dyDescent="0.2"/>
    <row r="2106" s="117" customFormat="1" x14ac:dyDescent="0.2"/>
    <row r="2107" s="117" customFormat="1" x14ac:dyDescent="0.2"/>
    <row r="2108" s="117" customFormat="1" x14ac:dyDescent="0.2"/>
    <row r="2109" s="117" customFormat="1" x14ac:dyDescent="0.2"/>
    <row r="2110" s="117" customFormat="1" x14ac:dyDescent="0.2"/>
    <row r="2111" s="117" customFormat="1" x14ac:dyDescent="0.2"/>
    <row r="2112" s="117" customFormat="1" x14ac:dyDescent="0.2"/>
    <row r="2113" s="117" customFormat="1" x14ac:dyDescent="0.2"/>
    <row r="2114" s="117" customFormat="1" x14ac:dyDescent="0.2"/>
    <row r="2115" s="117" customFormat="1" x14ac:dyDescent="0.2"/>
    <row r="2116" s="117" customFormat="1" x14ac:dyDescent="0.2"/>
    <row r="2117" s="117" customFormat="1" x14ac:dyDescent="0.2"/>
    <row r="2118" s="117" customFormat="1" x14ac:dyDescent="0.2"/>
    <row r="2119" s="117" customFormat="1" x14ac:dyDescent="0.2"/>
    <row r="2120" s="117" customFormat="1" x14ac:dyDescent="0.2"/>
    <row r="2121" s="117" customFormat="1" x14ac:dyDescent="0.2"/>
    <row r="2122" s="117" customFormat="1" x14ac:dyDescent="0.2"/>
    <row r="2123" s="117" customFormat="1" x14ac:dyDescent="0.2"/>
    <row r="2124" s="117" customFormat="1" x14ac:dyDescent="0.2"/>
    <row r="2125" s="117" customFormat="1" x14ac:dyDescent="0.2"/>
    <row r="2126" s="117" customFormat="1" x14ac:dyDescent="0.2"/>
    <row r="2127" s="117" customFormat="1" x14ac:dyDescent="0.2"/>
    <row r="2128" s="117" customFormat="1" x14ac:dyDescent="0.2"/>
    <row r="2129" s="117" customFormat="1" x14ac:dyDescent="0.2"/>
    <row r="2130" s="117" customFormat="1" x14ac:dyDescent="0.2"/>
    <row r="2131" s="117" customFormat="1" x14ac:dyDescent="0.2"/>
    <row r="2132" s="117" customFormat="1" x14ac:dyDescent="0.2"/>
    <row r="2133" s="117" customFormat="1" x14ac:dyDescent="0.2"/>
    <row r="2134" s="117" customFormat="1" x14ac:dyDescent="0.2"/>
    <row r="2135" s="117" customFormat="1" x14ac:dyDescent="0.2"/>
    <row r="2136" s="117" customFormat="1" x14ac:dyDescent="0.2"/>
    <row r="2137" s="117" customFormat="1" x14ac:dyDescent="0.2"/>
    <row r="2138" s="117" customFormat="1" x14ac:dyDescent="0.2"/>
    <row r="2139" s="117" customFormat="1" x14ac:dyDescent="0.2"/>
    <row r="2140" s="117" customFormat="1" x14ac:dyDescent="0.2"/>
    <row r="2141" s="117" customFormat="1" x14ac:dyDescent="0.2"/>
    <row r="2142" s="117" customFormat="1" x14ac:dyDescent="0.2"/>
    <row r="2143" s="117" customFormat="1" x14ac:dyDescent="0.2"/>
    <row r="2144" s="117" customFormat="1" x14ac:dyDescent="0.2"/>
    <row r="2145" s="117" customFormat="1" x14ac:dyDescent="0.2"/>
    <row r="2146" s="117" customFormat="1" x14ac:dyDescent="0.2"/>
    <row r="2147" s="117" customFormat="1" x14ac:dyDescent="0.2"/>
    <row r="2148" s="117" customFormat="1" x14ac:dyDescent="0.2"/>
    <row r="2149" s="117" customFormat="1" x14ac:dyDescent="0.2"/>
    <row r="2150" s="117" customFormat="1" x14ac:dyDescent="0.2"/>
    <row r="2151" s="117" customFormat="1" x14ac:dyDescent="0.2"/>
    <row r="2152" s="117" customFormat="1" x14ac:dyDescent="0.2"/>
    <row r="2153" s="117" customFormat="1" x14ac:dyDescent="0.2"/>
    <row r="2154" s="117" customFormat="1" x14ac:dyDescent="0.2"/>
    <row r="2155" s="117" customFormat="1" x14ac:dyDescent="0.2"/>
    <row r="2156" s="117" customFormat="1" x14ac:dyDescent="0.2"/>
    <row r="2157" s="117" customFormat="1" x14ac:dyDescent="0.2"/>
    <row r="2158" s="117" customFormat="1" x14ac:dyDescent="0.2"/>
    <row r="2159" s="117" customFormat="1" x14ac:dyDescent="0.2"/>
    <row r="2160" s="117" customFormat="1" x14ac:dyDescent="0.2"/>
    <row r="2161" s="117" customFormat="1" x14ac:dyDescent="0.2"/>
    <row r="2162" s="117" customFormat="1" x14ac:dyDescent="0.2"/>
    <row r="2163" s="117" customFormat="1" x14ac:dyDescent="0.2"/>
    <row r="2164" s="117" customFormat="1" x14ac:dyDescent="0.2"/>
    <row r="2165" s="117" customFormat="1" x14ac:dyDescent="0.2"/>
    <row r="2166" s="117" customFormat="1" x14ac:dyDescent="0.2"/>
    <row r="2167" s="117" customFormat="1" x14ac:dyDescent="0.2"/>
    <row r="2168" s="117" customFormat="1" x14ac:dyDescent="0.2"/>
    <row r="2169" s="117" customFormat="1" x14ac:dyDescent="0.2"/>
    <row r="2170" s="117" customFormat="1" x14ac:dyDescent="0.2"/>
    <row r="2171" s="117" customFormat="1" x14ac:dyDescent="0.2"/>
    <row r="2172" s="117" customFormat="1" x14ac:dyDescent="0.2"/>
    <row r="2173" s="117" customFormat="1" x14ac:dyDescent="0.2"/>
    <row r="2174" s="117" customFormat="1" x14ac:dyDescent="0.2"/>
    <row r="2175" s="117" customFormat="1" x14ac:dyDescent="0.2"/>
    <row r="2176" s="117" customFormat="1" x14ac:dyDescent="0.2"/>
    <row r="2177" s="117" customFormat="1" x14ac:dyDescent="0.2"/>
    <row r="2178" s="117" customFormat="1" x14ac:dyDescent="0.2"/>
    <row r="2179" s="117" customFormat="1" x14ac:dyDescent="0.2"/>
    <row r="2180" s="117" customFormat="1" x14ac:dyDescent="0.2"/>
    <row r="2181" s="117" customFormat="1" x14ac:dyDescent="0.2"/>
    <row r="2182" s="117" customFormat="1" x14ac:dyDescent="0.2"/>
    <row r="2183" s="117" customFormat="1" x14ac:dyDescent="0.2"/>
    <row r="2184" s="117" customFormat="1" x14ac:dyDescent="0.2"/>
    <row r="2185" s="117" customFormat="1" x14ac:dyDescent="0.2"/>
    <row r="2186" s="117" customFormat="1" x14ac:dyDescent="0.2"/>
    <row r="2187" s="117" customFormat="1" x14ac:dyDescent="0.2"/>
    <row r="2188" s="117" customFormat="1" x14ac:dyDescent="0.2"/>
    <row r="2189" s="117" customFormat="1" x14ac:dyDescent="0.2"/>
    <row r="2190" s="117" customFormat="1" x14ac:dyDescent="0.2"/>
    <row r="2191" s="117" customFormat="1" x14ac:dyDescent="0.2"/>
    <row r="2192" s="117" customFormat="1" x14ac:dyDescent="0.2"/>
    <row r="2193" s="117" customFormat="1" x14ac:dyDescent="0.2"/>
    <row r="2194" s="117" customFormat="1" x14ac:dyDescent="0.2"/>
    <row r="2195" s="117" customFormat="1" x14ac:dyDescent="0.2"/>
    <row r="2196" s="117" customFormat="1" x14ac:dyDescent="0.2"/>
    <row r="2197" s="117" customFormat="1" x14ac:dyDescent="0.2"/>
    <row r="2198" s="117" customFormat="1" x14ac:dyDescent="0.2"/>
    <row r="2199" s="117" customFormat="1" x14ac:dyDescent="0.2"/>
    <row r="2200" s="117" customFormat="1" x14ac:dyDescent="0.2"/>
    <row r="2201" s="117" customFormat="1" x14ac:dyDescent="0.2"/>
    <row r="2202" s="117" customFormat="1" x14ac:dyDescent="0.2"/>
    <row r="2203" s="117" customFormat="1" x14ac:dyDescent="0.2"/>
    <row r="2204" s="117" customFormat="1" x14ac:dyDescent="0.2"/>
    <row r="2205" s="117" customFormat="1" x14ac:dyDescent="0.2"/>
    <row r="2206" s="117" customFormat="1" x14ac:dyDescent="0.2"/>
    <row r="2207" s="117" customFormat="1" x14ac:dyDescent="0.2"/>
    <row r="2208" s="117" customFormat="1" x14ac:dyDescent="0.2"/>
    <row r="2209" s="117" customFormat="1" x14ac:dyDescent="0.2"/>
    <row r="2210" s="117" customFormat="1" x14ac:dyDescent="0.2"/>
    <row r="2211" s="117" customFormat="1" x14ac:dyDescent="0.2"/>
    <row r="2212" s="117" customFormat="1" x14ac:dyDescent="0.2"/>
    <row r="2213" s="117" customFormat="1" x14ac:dyDescent="0.2"/>
    <row r="2214" s="117" customFormat="1" x14ac:dyDescent="0.2"/>
    <row r="2215" s="117" customFormat="1" x14ac:dyDescent="0.2"/>
    <row r="2216" s="117" customFormat="1" x14ac:dyDescent="0.2"/>
    <row r="2217" s="117" customFormat="1" x14ac:dyDescent="0.2"/>
    <row r="2218" s="117" customFormat="1" x14ac:dyDescent="0.2"/>
    <row r="2219" s="117" customFormat="1" x14ac:dyDescent="0.2"/>
    <row r="2220" s="117" customFormat="1" x14ac:dyDescent="0.2"/>
    <row r="2221" s="117" customFormat="1" x14ac:dyDescent="0.2"/>
    <row r="2222" s="117" customFormat="1" x14ac:dyDescent="0.2"/>
    <row r="2223" s="117" customFormat="1" x14ac:dyDescent="0.2"/>
    <row r="2224" s="117" customFormat="1" x14ac:dyDescent="0.2"/>
    <row r="2225" s="117" customFormat="1" x14ac:dyDescent="0.2"/>
    <row r="2226" s="117" customFormat="1" x14ac:dyDescent="0.2"/>
    <row r="2227" s="117" customFormat="1" x14ac:dyDescent="0.2"/>
    <row r="2228" s="117" customFormat="1" x14ac:dyDescent="0.2"/>
    <row r="2229" s="117" customFormat="1" x14ac:dyDescent="0.2"/>
    <row r="2230" s="117" customFormat="1" x14ac:dyDescent="0.2"/>
    <row r="2231" s="117" customFormat="1" x14ac:dyDescent="0.2"/>
    <row r="2232" s="117" customFormat="1" x14ac:dyDescent="0.2"/>
    <row r="2233" s="117" customFormat="1" x14ac:dyDescent="0.2"/>
    <row r="2234" s="117" customFormat="1" x14ac:dyDescent="0.2"/>
    <row r="2235" s="117" customFormat="1" x14ac:dyDescent="0.2"/>
    <row r="2236" s="117" customFormat="1" x14ac:dyDescent="0.2"/>
    <row r="2237" s="117" customFormat="1" x14ac:dyDescent="0.2"/>
    <row r="2238" s="117" customFormat="1" x14ac:dyDescent="0.2"/>
    <row r="2239" s="117" customFormat="1" x14ac:dyDescent="0.2"/>
    <row r="2240" s="117" customFormat="1" x14ac:dyDescent="0.2"/>
    <row r="2241" s="117" customFormat="1" x14ac:dyDescent="0.2"/>
    <row r="2242" s="117" customFormat="1" x14ac:dyDescent="0.2"/>
    <row r="2243" s="117" customFormat="1" x14ac:dyDescent="0.2"/>
    <row r="2244" s="117" customFormat="1" x14ac:dyDescent="0.2"/>
    <row r="2245" s="117" customFormat="1" x14ac:dyDescent="0.2"/>
    <row r="2246" s="117" customFormat="1" x14ac:dyDescent="0.2"/>
    <row r="2247" s="117" customFormat="1" x14ac:dyDescent="0.2"/>
    <row r="2248" s="117" customFormat="1" x14ac:dyDescent="0.2"/>
    <row r="2249" s="117" customFormat="1" x14ac:dyDescent="0.2"/>
    <row r="2250" s="117" customFormat="1" x14ac:dyDescent="0.2"/>
    <row r="2251" s="117" customFormat="1" x14ac:dyDescent="0.2"/>
    <row r="2252" s="117" customFormat="1" x14ac:dyDescent="0.2"/>
    <row r="2253" s="117" customFormat="1" x14ac:dyDescent="0.2"/>
    <row r="2254" s="117" customFormat="1" x14ac:dyDescent="0.2"/>
    <row r="2255" s="117" customFormat="1" x14ac:dyDescent="0.2"/>
    <row r="2256" s="117" customFormat="1" x14ac:dyDescent="0.2"/>
    <row r="2257" s="117" customFormat="1" x14ac:dyDescent="0.2"/>
    <row r="2258" s="117" customFormat="1" x14ac:dyDescent="0.2"/>
    <row r="2259" s="117" customFormat="1" x14ac:dyDescent="0.2"/>
    <row r="2260" s="117" customFormat="1" x14ac:dyDescent="0.2"/>
    <row r="2261" s="117" customFormat="1" x14ac:dyDescent="0.2"/>
    <row r="2262" s="117" customFormat="1" x14ac:dyDescent="0.2"/>
    <row r="2263" s="117" customFormat="1" x14ac:dyDescent="0.2"/>
    <row r="2264" s="117" customFormat="1" x14ac:dyDescent="0.2"/>
    <row r="2265" s="117" customFormat="1" x14ac:dyDescent="0.2"/>
    <row r="2266" s="117" customFormat="1" x14ac:dyDescent="0.2"/>
    <row r="2267" s="117" customFormat="1" x14ac:dyDescent="0.2"/>
    <row r="2268" s="117" customFormat="1" x14ac:dyDescent="0.2"/>
    <row r="2269" s="117" customFormat="1" x14ac:dyDescent="0.2"/>
    <row r="2270" s="117" customFormat="1" x14ac:dyDescent="0.2"/>
    <row r="2271" s="117" customFormat="1" x14ac:dyDescent="0.2"/>
    <row r="2272" s="117" customFormat="1" x14ac:dyDescent="0.2"/>
    <row r="2273" s="117" customFormat="1" x14ac:dyDescent="0.2"/>
    <row r="2274" s="117" customFormat="1" x14ac:dyDescent="0.2"/>
    <row r="2275" s="117" customFormat="1" x14ac:dyDescent="0.2"/>
    <row r="2276" s="117" customFormat="1" x14ac:dyDescent="0.2"/>
    <row r="2277" s="117" customFormat="1" x14ac:dyDescent="0.2"/>
    <row r="2278" s="117" customFormat="1" x14ac:dyDescent="0.2"/>
    <row r="2279" s="117" customFormat="1" x14ac:dyDescent="0.2"/>
    <row r="2280" s="117" customFormat="1" x14ac:dyDescent="0.2"/>
    <row r="2281" s="117" customFormat="1" x14ac:dyDescent="0.2"/>
    <row r="2282" s="117" customFormat="1" x14ac:dyDescent="0.2"/>
    <row r="2283" s="117" customFormat="1" x14ac:dyDescent="0.2"/>
    <row r="2284" s="117" customFormat="1" x14ac:dyDescent="0.2"/>
    <row r="2285" s="117" customFormat="1" x14ac:dyDescent="0.2"/>
    <row r="2286" s="117" customFormat="1" x14ac:dyDescent="0.2"/>
    <row r="2287" s="117" customFormat="1" x14ac:dyDescent="0.2"/>
    <row r="2288" s="117" customFormat="1" x14ac:dyDescent="0.2"/>
    <row r="2289" s="117" customFormat="1" x14ac:dyDescent="0.2"/>
    <row r="2290" s="117" customFormat="1" x14ac:dyDescent="0.2"/>
    <row r="2291" s="117" customFormat="1" x14ac:dyDescent="0.2"/>
    <row r="2292" s="117" customFormat="1" x14ac:dyDescent="0.2"/>
    <row r="2293" s="117" customFormat="1" x14ac:dyDescent="0.2"/>
    <row r="2294" s="117" customFormat="1" x14ac:dyDescent="0.2"/>
    <row r="2295" s="117" customFormat="1" x14ac:dyDescent="0.2"/>
    <row r="2296" s="117" customFormat="1" x14ac:dyDescent="0.2"/>
    <row r="2297" s="117" customFormat="1" x14ac:dyDescent="0.2"/>
    <row r="2298" s="117" customFormat="1" x14ac:dyDescent="0.2"/>
    <row r="2299" s="117" customFormat="1" x14ac:dyDescent="0.2"/>
    <row r="2300" s="117" customFormat="1" x14ac:dyDescent="0.2"/>
    <row r="2301" s="117" customFormat="1" x14ac:dyDescent="0.2"/>
    <row r="2302" s="117" customFormat="1" x14ac:dyDescent="0.2"/>
    <row r="2303" s="117" customFormat="1" x14ac:dyDescent="0.2"/>
    <row r="2304" s="117" customFormat="1" x14ac:dyDescent="0.2"/>
    <row r="2305" s="117" customFormat="1" x14ac:dyDescent="0.2"/>
    <row r="2306" s="117" customFormat="1" x14ac:dyDescent="0.2"/>
    <row r="2307" s="117" customFormat="1" x14ac:dyDescent="0.2"/>
    <row r="2308" s="117" customFormat="1" x14ac:dyDescent="0.2"/>
    <row r="2309" s="117" customFormat="1" x14ac:dyDescent="0.2"/>
    <row r="2310" s="117" customFormat="1" x14ac:dyDescent="0.2"/>
    <row r="2311" s="117" customFormat="1" x14ac:dyDescent="0.2"/>
    <row r="2312" s="117" customFormat="1" x14ac:dyDescent="0.2"/>
    <row r="2313" s="117" customFormat="1" x14ac:dyDescent="0.2"/>
    <row r="2314" s="117" customFormat="1" x14ac:dyDescent="0.2"/>
  </sheetData>
  <dataConsolidate/>
  <mergeCells count="27">
    <mergeCell ref="H65:N65"/>
    <mergeCell ref="L11:O12"/>
    <mergeCell ref="H60:N60"/>
    <mergeCell ref="H61:N61"/>
    <mergeCell ref="H62:N62"/>
    <mergeCell ref="G11:G14"/>
    <mergeCell ref="A34:A65"/>
    <mergeCell ref="A11:C32"/>
    <mergeCell ref="C34:C42"/>
    <mergeCell ref="C44:C65"/>
    <mergeCell ref="G17:G26"/>
    <mergeCell ref="G50:G65"/>
    <mergeCell ref="G28:G48"/>
    <mergeCell ref="H64:N64"/>
    <mergeCell ref="H55:N55"/>
    <mergeCell ref="H56:N56"/>
    <mergeCell ref="H57:N57"/>
    <mergeCell ref="H58:N58"/>
    <mergeCell ref="H59:N59"/>
    <mergeCell ref="L27:N27"/>
    <mergeCell ref="H43:N43"/>
    <mergeCell ref="H51:N51"/>
    <mergeCell ref="H52:N52"/>
    <mergeCell ref="H63:N63"/>
    <mergeCell ref="J50:N50"/>
    <mergeCell ref="H53:N53"/>
    <mergeCell ref="H54:N54"/>
  </mergeCells>
  <dataValidations count="8">
    <dataValidation type="list" allowBlank="1" showInputMessage="1" showErrorMessage="1" sqref="E20" xr:uid="{00000000-0002-0000-0000-000000000000}">
      <formula1>$D$80:$D$81</formula1>
    </dataValidation>
    <dataValidation type="list" allowBlank="1" showInputMessage="1" showErrorMessage="1" sqref="E21" xr:uid="{00000000-0002-0000-0000-000001000000}">
      <formula1>$D$84:$D$86</formula1>
    </dataValidation>
    <dataValidation type="list" allowBlank="1" showInputMessage="1" showErrorMessage="1" sqref="E27 E60 E40" xr:uid="{00000000-0002-0000-0000-000002000000}">
      <formula1>$D$89:$D$121</formula1>
    </dataValidation>
    <dataValidation type="list" allowBlank="1" showInputMessage="1" showErrorMessage="1" sqref="I14" xr:uid="{00000000-0002-0000-0000-000003000000}">
      <formula1>$D$124:$D$125</formula1>
    </dataValidation>
    <dataValidation type="list" allowBlank="1" showInputMessage="1" showErrorMessage="1" sqref="I18" xr:uid="{00000000-0002-0000-0000-000004000000}">
      <formula1>$D$128:$D$129</formula1>
    </dataValidation>
    <dataValidation type="list" allowBlank="1" showInputMessage="1" showErrorMessage="1" sqref="I28" xr:uid="{00000000-0002-0000-0000-000005000000}">
      <formula1>$D$132:$D$134</formula1>
    </dataValidation>
    <dataValidation type="list" allowBlank="1" showInputMessage="1" showErrorMessage="1" sqref="I17" xr:uid="{00000000-0002-0000-0000-000006000000}">
      <formula1>$D$137:$D$138</formula1>
    </dataValidation>
    <dataValidation type="date" allowBlank="1" showInputMessage="1" showErrorMessage="1" sqref="E14 E49" xr:uid="{00000000-0002-0000-0000-000007000000}">
      <formula1>1</formula1>
      <formula2>44196</formula2>
    </dataValidation>
  </dataValidations>
  <hyperlinks>
    <hyperlink ref="E32" r:id="rId1" xr:uid="{BA7EADE4-3EF4-BF4A-9DA9-C39D42A64750}"/>
  </hyperlinks>
  <pageMargins left="0.23622047244094491" right="0.23622047244094491" top="0.39370078740157483" bottom="0.39370078740157483" header="0" footer="0"/>
  <pageSetup scale="58" orientation="landscape" r:id="rId2"/>
  <ignoredErrors>
    <ignoredError sqref="L48 E8" unlocked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79"/>
  <sheetViews>
    <sheetView showGridLines="0" showZeros="0" view="pageBreakPreview" zoomScale="50" zoomScaleNormal="90" zoomScaleSheetLayoutView="50" zoomScalePageLayoutView="70" workbookViewId="0">
      <selection activeCell="D12" sqref="D12:I12"/>
    </sheetView>
  </sheetViews>
  <sheetFormatPr baseColWidth="10" defaultColWidth="11.5" defaultRowHeight="12" x14ac:dyDescent="0.15"/>
  <cols>
    <col min="1" max="1" width="2.83203125" style="12" customWidth="1"/>
    <col min="2" max="2" width="28.5" style="12" bestFit="1" customWidth="1"/>
    <col min="3" max="3" width="3.6640625" style="12" customWidth="1"/>
    <col min="4" max="4" width="16.5" style="12" bestFit="1" customWidth="1"/>
    <col min="5" max="5" width="8.6640625" style="12" customWidth="1"/>
    <col min="6" max="6" width="8.5" style="12" bestFit="1" customWidth="1"/>
    <col min="7" max="7" width="5.83203125" style="12" customWidth="1"/>
    <col min="8" max="8" width="21.33203125" style="12" bestFit="1" customWidth="1"/>
    <col min="9" max="9" width="10.5" style="12" customWidth="1"/>
    <col min="10" max="10" width="1.6640625" style="12" customWidth="1"/>
    <col min="11" max="11" width="1.83203125" style="12" customWidth="1"/>
    <col min="12" max="12" width="20.6640625" style="12" bestFit="1" customWidth="1"/>
    <col min="13" max="13" width="3.6640625" style="12" customWidth="1"/>
    <col min="14" max="14" width="18.6640625" style="12" bestFit="1" customWidth="1"/>
    <col min="15" max="15" width="27.83203125" style="12" customWidth="1"/>
    <col min="16" max="16" width="3.33203125" style="12" customWidth="1"/>
    <col min="17" max="16384" width="11.5" style="12"/>
  </cols>
  <sheetData>
    <row r="1" spans="1:18" ht="15" customHeight="1" thickBot="1" x14ac:dyDescent="0.25">
      <c r="A1" s="207"/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</row>
    <row r="2" spans="1:18" ht="21" x14ac:dyDescent="0.15">
      <c r="A2" s="207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362" t="s">
        <v>122</v>
      </c>
      <c r="O2" s="363"/>
      <c r="P2" s="207"/>
    </row>
    <row r="3" spans="1:18" ht="21" x14ac:dyDescent="0.15">
      <c r="A3" s="207"/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150" t="s">
        <v>0</v>
      </c>
      <c r="O3" s="148">
        <f ca="1">(CAPTURA!E8)</f>
        <v>46079</v>
      </c>
      <c r="P3" s="207"/>
    </row>
    <row r="4" spans="1:18" ht="21" x14ac:dyDescent="0.15">
      <c r="A4" s="207"/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150" t="s">
        <v>120</v>
      </c>
      <c r="O4" s="149">
        <f>(CAPTURA!E9)</f>
        <v>0</v>
      </c>
      <c r="P4" s="207"/>
    </row>
    <row r="5" spans="1:18" ht="22" thickBot="1" x14ac:dyDescent="0.2">
      <c r="A5" s="207"/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151"/>
      <c r="O5" s="152"/>
      <c r="P5" s="207"/>
    </row>
    <row r="6" spans="1:18" ht="14.25" customHeight="1" x14ac:dyDescent="0.2">
      <c r="A6" s="207"/>
      <c r="B6" s="207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8" ht="33" customHeight="1" x14ac:dyDescent="0.15">
      <c r="A7" s="207"/>
      <c r="B7" s="364" t="s">
        <v>207</v>
      </c>
      <c r="C7" s="364"/>
      <c r="D7" s="364"/>
      <c r="E7" s="364"/>
      <c r="F7" s="364"/>
      <c r="G7" s="364"/>
      <c r="H7" s="364"/>
      <c r="I7" s="364"/>
      <c r="J7" s="364"/>
      <c r="K7" s="364"/>
      <c r="L7" s="364"/>
      <c r="M7" s="364"/>
      <c r="N7" s="364"/>
      <c r="O7" s="364"/>
      <c r="P7" s="207"/>
    </row>
    <row r="8" spans="1:18" ht="11.25" customHeight="1" x14ac:dyDescent="0.15">
      <c r="A8" s="207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207"/>
    </row>
    <row r="9" spans="1:18" ht="12" customHeight="1" x14ac:dyDescent="0.3">
      <c r="A9" s="207"/>
      <c r="B9" s="365"/>
      <c r="C9" s="365"/>
      <c r="D9" s="365"/>
      <c r="E9" s="365"/>
      <c r="F9" s="365"/>
      <c r="G9" s="365"/>
      <c r="H9" s="365"/>
      <c r="I9" s="365"/>
      <c r="J9" s="365"/>
      <c r="K9" s="365"/>
      <c r="L9" s="365"/>
      <c r="M9" s="365"/>
      <c r="N9" s="365"/>
      <c r="O9" s="365"/>
      <c r="P9" s="207"/>
    </row>
    <row r="10" spans="1:18" ht="24" customHeight="1" x14ac:dyDescent="0.15">
      <c r="A10" s="207"/>
      <c r="B10" s="145" t="s">
        <v>196</v>
      </c>
      <c r="C10" s="128"/>
      <c r="D10" s="348" t="str">
        <f>CONCATENATE(CAPTURA!E11, " ",CAPTURA!E12, " ", CAPTURA!E13)</f>
        <v>AMIRA IRACEMA TORRES GONZALEZ</v>
      </c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207"/>
    </row>
    <row r="11" spans="1:18" ht="21" customHeight="1" x14ac:dyDescent="0.15">
      <c r="A11" s="207"/>
      <c r="B11" s="127"/>
      <c r="C11" s="127"/>
      <c r="D11" s="347"/>
      <c r="E11" s="347"/>
      <c r="F11" s="347"/>
      <c r="G11" s="347"/>
      <c r="H11" s="347"/>
      <c r="I11" s="347"/>
      <c r="J11" s="129"/>
      <c r="K11" s="129"/>
      <c r="L11" s="127"/>
      <c r="M11" s="366"/>
      <c r="N11" s="366"/>
      <c r="O11" s="366"/>
      <c r="P11" s="207"/>
    </row>
    <row r="12" spans="1:18" ht="31" x14ac:dyDescent="0.15">
      <c r="A12" s="207"/>
      <c r="B12" s="145" t="s">
        <v>197</v>
      </c>
      <c r="C12" s="128"/>
      <c r="D12" s="348" t="str">
        <f>(CAPTURA!I28)</f>
        <v>CREDITO DIRECTO</v>
      </c>
      <c r="E12" s="348"/>
      <c r="F12" s="348"/>
      <c r="G12" s="348"/>
      <c r="H12" s="348"/>
      <c r="I12" s="348"/>
      <c r="J12" s="131"/>
      <c r="K12" s="131"/>
      <c r="L12" s="145" t="s">
        <v>198</v>
      </c>
      <c r="M12" s="367" t="str">
        <f>(CAPTURA!I29)</f>
        <v>N/A</v>
      </c>
      <c r="N12" s="367"/>
      <c r="O12" s="367"/>
      <c r="P12" s="207"/>
    </row>
    <row r="13" spans="1:18" ht="15" x14ac:dyDescent="0.15">
      <c r="A13" s="207"/>
      <c r="B13" s="127"/>
      <c r="C13" s="127"/>
      <c r="D13" s="347"/>
      <c r="E13" s="347"/>
      <c r="F13" s="347"/>
      <c r="G13" s="347"/>
      <c r="H13" s="347"/>
      <c r="I13" s="347"/>
      <c r="J13" s="129"/>
      <c r="K13" s="129"/>
      <c r="L13" s="127"/>
      <c r="M13" s="366"/>
      <c r="N13" s="366"/>
      <c r="O13" s="366"/>
      <c r="P13" s="207"/>
    </row>
    <row r="14" spans="1:18" ht="2.25" customHeight="1" x14ac:dyDescent="0.15">
      <c r="A14" s="207"/>
      <c r="B14" s="127"/>
      <c r="C14" s="127"/>
      <c r="D14" s="347"/>
      <c r="E14" s="347"/>
      <c r="F14" s="347"/>
      <c r="G14" s="347"/>
      <c r="H14" s="347"/>
      <c r="I14" s="347"/>
      <c r="J14" s="129"/>
      <c r="K14" s="129"/>
      <c r="L14" s="127"/>
      <c r="M14" s="366"/>
      <c r="N14" s="366"/>
      <c r="O14" s="366"/>
      <c r="P14" s="207"/>
      <c r="R14" s="40"/>
    </row>
    <row r="15" spans="1:18" ht="15" x14ac:dyDescent="0.15">
      <c r="A15" s="207"/>
      <c r="B15" s="127"/>
      <c r="C15" s="127"/>
      <c r="D15" s="347"/>
      <c r="E15" s="347"/>
      <c r="F15" s="347"/>
      <c r="G15" s="347"/>
      <c r="H15" s="347"/>
      <c r="I15" s="347"/>
      <c r="J15" s="129"/>
      <c r="K15" s="129"/>
      <c r="L15" s="127"/>
      <c r="M15" s="366"/>
      <c r="N15" s="366"/>
      <c r="O15" s="366"/>
      <c r="P15" s="207"/>
      <c r="R15" s="40"/>
    </row>
    <row r="16" spans="1:18" ht="31" x14ac:dyDescent="0.15">
      <c r="A16" s="207"/>
      <c r="B16" s="145" t="s">
        <v>202</v>
      </c>
      <c r="C16" s="128"/>
      <c r="D16" s="348" t="str">
        <f>(CAPTURA!I17)</f>
        <v>SANTTE RESIDENCIAL</v>
      </c>
      <c r="E16" s="348"/>
      <c r="F16" s="348"/>
      <c r="G16" s="348"/>
      <c r="H16" s="348"/>
      <c r="I16" s="348"/>
      <c r="J16" s="133"/>
      <c r="K16" s="133"/>
      <c r="L16" s="145" t="s">
        <v>201</v>
      </c>
      <c r="M16" s="348" t="str">
        <f>(CAPTURA!I18)</f>
        <v>TERRENO</v>
      </c>
      <c r="N16" s="348"/>
      <c r="O16" s="348"/>
      <c r="P16" s="207"/>
      <c r="R16" s="40"/>
    </row>
    <row r="17" spans="1:18" ht="15" x14ac:dyDescent="0.15">
      <c r="A17" s="207"/>
      <c r="B17" s="127"/>
      <c r="C17" s="127"/>
      <c r="D17" s="347"/>
      <c r="E17" s="347"/>
      <c r="F17" s="347"/>
      <c r="G17" s="347"/>
      <c r="H17" s="347"/>
      <c r="I17" s="347"/>
      <c r="J17" s="129"/>
      <c r="K17" s="129"/>
      <c r="L17" s="127"/>
      <c r="M17" s="347"/>
      <c r="N17" s="347"/>
      <c r="O17" s="347"/>
      <c r="P17" s="207"/>
      <c r="R17" s="40"/>
    </row>
    <row r="18" spans="1:18" ht="15" x14ac:dyDescent="0.15">
      <c r="A18" s="207"/>
      <c r="B18" s="127"/>
      <c r="C18" s="127"/>
      <c r="D18" s="129"/>
      <c r="E18" s="129"/>
      <c r="F18" s="129"/>
      <c r="G18" s="129"/>
      <c r="H18" s="129"/>
      <c r="I18" s="129"/>
      <c r="J18" s="129"/>
      <c r="K18" s="129"/>
      <c r="L18" s="127"/>
      <c r="M18" s="129"/>
      <c r="N18" s="129"/>
      <c r="O18" s="129"/>
      <c r="P18" s="207"/>
      <c r="R18" s="40"/>
    </row>
    <row r="19" spans="1:18" ht="24" x14ac:dyDescent="0.15">
      <c r="A19" s="207"/>
      <c r="B19" s="145" t="s">
        <v>208</v>
      </c>
      <c r="C19" s="127"/>
      <c r="D19" s="129"/>
      <c r="E19" s="129"/>
      <c r="F19" s="129"/>
      <c r="G19" s="129"/>
      <c r="H19" s="129"/>
      <c r="I19" s="129"/>
      <c r="J19" s="129"/>
      <c r="K19" s="129"/>
      <c r="L19" s="127"/>
      <c r="M19" s="129"/>
      <c r="N19" s="129"/>
      <c r="O19" s="129"/>
      <c r="P19" s="207"/>
      <c r="R19" s="40"/>
    </row>
    <row r="20" spans="1:18" ht="24" x14ac:dyDescent="0.15">
      <c r="A20" s="207"/>
      <c r="B20" s="127"/>
      <c r="C20" s="127"/>
      <c r="D20" s="146" t="s">
        <v>199</v>
      </c>
      <c r="E20" s="133"/>
      <c r="F20" s="146" t="s">
        <v>168</v>
      </c>
      <c r="G20" s="146"/>
      <c r="H20" s="147" t="s">
        <v>200</v>
      </c>
      <c r="I20" s="129"/>
      <c r="J20" s="129"/>
      <c r="K20" s="129"/>
      <c r="L20" s="368" t="s">
        <v>209</v>
      </c>
      <c r="M20" s="368"/>
      <c r="N20" s="368"/>
      <c r="O20" s="368"/>
      <c r="P20" s="207"/>
      <c r="R20" s="40"/>
    </row>
    <row r="21" spans="1:18" ht="24" x14ac:dyDescent="0.15">
      <c r="A21" s="207"/>
      <c r="B21" s="127"/>
      <c r="C21" s="127"/>
      <c r="D21" s="345">
        <f>(CAPTURA!I19)</f>
        <v>45</v>
      </c>
      <c r="E21" s="129"/>
      <c r="F21" s="345">
        <f>(CAPTURA!I20)</f>
        <v>16</v>
      </c>
      <c r="G21" s="132"/>
      <c r="H21" s="345">
        <f>(CAPTURA!I21)</f>
        <v>114</v>
      </c>
      <c r="I21" s="129"/>
      <c r="J21" s="129"/>
      <c r="K21" s="129"/>
      <c r="L21" s="369">
        <f>(CAPTURA!I26)</f>
        <v>2100000</v>
      </c>
      <c r="M21" s="369"/>
      <c r="N21" s="369"/>
      <c r="O21" s="369"/>
      <c r="P21" s="207"/>
      <c r="R21" s="40"/>
    </row>
    <row r="22" spans="1:18" ht="24" x14ac:dyDescent="0.15">
      <c r="A22" s="207"/>
      <c r="B22" s="127"/>
      <c r="C22" s="127"/>
      <c r="D22" s="345"/>
      <c r="E22" s="129"/>
      <c r="F22" s="345"/>
      <c r="G22" s="132"/>
      <c r="H22" s="345"/>
      <c r="I22" s="129"/>
      <c r="J22" s="129"/>
      <c r="K22" s="129"/>
      <c r="L22" s="369"/>
      <c r="M22" s="369"/>
      <c r="N22" s="369"/>
      <c r="O22" s="369"/>
      <c r="P22" s="207"/>
      <c r="R22" s="40"/>
    </row>
    <row r="23" spans="1:18" ht="15" x14ac:dyDescent="0.15">
      <c r="A23" s="207"/>
      <c r="B23" s="127"/>
      <c r="C23" s="127"/>
      <c r="D23" s="129"/>
      <c r="E23" s="129"/>
      <c r="F23" s="129"/>
      <c r="G23" s="129"/>
      <c r="H23" s="129"/>
      <c r="I23" s="129"/>
      <c r="J23" s="129"/>
      <c r="K23" s="129"/>
      <c r="L23" s="127"/>
      <c r="M23" s="130"/>
      <c r="N23" s="130"/>
      <c r="O23" s="130"/>
      <c r="P23" s="207"/>
      <c r="R23" s="40"/>
    </row>
    <row r="24" spans="1:18" ht="15" x14ac:dyDescent="0.15">
      <c r="A24" s="207"/>
      <c r="B24" s="127"/>
      <c r="C24" s="127"/>
      <c r="D24" s="129"/>
      <c r="E24" s="129"/>
      <c r="F24" s="129"/>
      <c r="G24" s="129"/>
      <c r="H24" s="129"/>
      <c r="I24" s="129"/>
      <c r="J24" s="129"/>
      <c r="K24" s="129"/>
      <c r="L24" s="127"/>
      <c r="M24" s="130"/>
      <c r="N24" s="130"/>
      <c r="O24" s="130"/>
      <c r="P24" s="207"/>
      <c r="R24" s="40"/>
    </row>
    <row r="25" spans="1:18" ht="16" thickBot="1" x14ac:dyDescent="0.2">
      <c r="A25" s="207"/>
      <c r="B25" s="127"/>
      <c r="C25" s="127"/>
      <c r="D25" s="349"/>
      <c r="E25" s="349"/>
      <c r="F25" s="349"/>
      <c r="G25" s="349"/>
      <c r="H25" s="349"/>
      <c r="I25" s="349"/>
      <c r="J25" s="349"/>
      <c r="K25" s="349"/>
      <c r="L25" s="349"/>
      <c r="M25" s="130"/>
      <c r="N25" s="346"/>
      <c r="O25" s="346"/>
      <c r="P25" s="207"/>
      <c r="R25" s="40"/>
    </row>
    <row r="26" spans="1:18" ht="22" thickBot="1" x14ac:dyDescent="0.2">
      <c r="A26" s="207"/>
      <c r="B26" s="336" t="s">
        <v>172</v>
      </c>
      <c r="C26" s="153" t="s">
        <v>169</v>
      </c>
      <c r="D26" s="339" t="s">
        <v>170</v>
      </c>
      <c r="E26" s="339"/>
      <c r="F26" s="339"/>
      <c r="G26" s="339"/>
      <c r="H26" s="339"/>
      <c r="I26" s="339"/>
      <c r="J26" s="339"/>
      <c r="K26" s="339"/>
      <c r="L26" s="339"/>
      <c r="M26" s="154" t="s">
        <v>171</v>
      </c>
      <c r="N26" s="340" t="s">
        <v>136</v>
      </c>
      <c r="O26" s="341"/>
      <c r="P26" s="207"/>
      <c r="R26" s="40"/>
    </row>
    <row r="27" spans="1:18" ht="21" x14ac:dyDescent="0.15">
      <c r="A27" s="207"/>
      <c r="B27" s="337"/>
      <c r="C27" s="155"/>
      <c r="D27" s="342" t="s">
        <v>173</v>
      </c>
      <c r="E27" s="342"/>
      <c r="F27" s="342"/>
      <c r="G27" s="342"/>
      <c r="H27" s="342"/>
      <c r="I27" s="342"/>
      <c r="J27" s="342"/>
      <c r="K27" s="342"/>
      <c r="L27" s="342"/>
      <c r="M27" s="156"/>
      <c r="N27" s="343"/>
      <c r="O27" s="344"/>
      <c r="P27" s="207"/>
      <c r="R27" s="40"/>
    </row>
    <row r="28" spans="1:18" ht="21" x14ac:dyDescent="0.15">
      <c r="A28" s="207"/>
      <c r="B28" s="337"/>
      <c r="C28" s="157"/>
      <c r="D28" s="324" t="s">
        <v>174</v>
      </c>
      <c r="E28" s="324"/>
      <c r="F28" s="324"/>
      <c r="G28" s="324"/>
      <c r="H28" s="324"/>
      <c r="I28" s="324"/>
      <c r="J28" s="324"/>
      <c r="K28" s="324"/>
      <c r="L28" s="324"/>
      <c r="M28" s="158"/>
      <c r="N28" s="325"/>
      <c r="O28" s="326"/>
      <c r="P28" s="207"/>
      <c r="R28" s="40"/>
    </row>
    <row r="29" spans="1:18" ht="21" x14ac:dyDescent="0.15">
      <c r="A29" s="207"/>
      <c r="B29" s="337"/>
      <c r="C29" s="157"/>
      <c r="D29" s="324" t="s">
        <v>175</v>
      </c>
      <c r="E29" s="324"/>
      <c r="F29" s="324"/>
      <c r="G29" s="324"/>
      <c r="H29" s="324"/>
      <c r="I29" s="324"/>
      <c r="J29" s="324"/>
      <c r="K29" s="324"/>
      <c r="L29" s="324"/>
      <c r="M29" s="158"/>
      <c r="N29" s="325"/>
      <c r="O29" s="326"/>
      <c r="P29" s="207"/>
      <c r="R29" s="40"/>
    </row>
    <row r="30" spans="1:18" ht="21" x14ac:dyDescent="0.15">
      <c r="A30" s="207"/>
      <c r="B30" s="337"/>
      <c r="C30" s="157"/>
      <c r="D30" s="324" t="s">
        <v>176</v>
      </c>
      <c r="E30" s="324"/>
      <c r="F30" s="324"/>
      <c r="G30" s="324"/>
      <c r="H30" s="324"/>
      <c r="I30" s="324"/>
      <c r="J30" s="324"/>
      <c r="K30" s="324"/>
      <c r="L30" s="324"/>
      <c r="M30" s="158"/>
      <c r="N30" s="325"/>
      <c r="O30" s="326"/>
      <c r="P30" s="207"/>
      <c r="R30" s="40"/>
    </row>
    <row r="31" spans="1:18" ht="21" x14ac:dyDescent="0.15">
      <c r="A31" s="207"/>
      <c r="B31" s="337"/>
      <c r="C31" s="157"/>
      <c r="D31" s="324" t="s">
        <v>177</v>
      </c>
      <c r="E31" s="324"/>
      <c r="F31" s="324"/>
      <c r="G31" s="324"/>
      <c r="H31" s="324"/>
      <c r="I31" s="324"/>
      <c r="J31" s="324"/>
      <c r="K31" s="324"/>
      <c r="L31" s="324"/>
      <c r="M31" s="158"/>
      <c r="N31" s="325"/>
      <c r="O31" s="326"/>
      <c r="P31" s="207"/>
      <c r="R31" s="40"/>
    </row>
    <row r="32" spans="1:18" ht="21" x14ac:dyDescent="0.15">
      <c r="A32" s="207"/>
      <c r="B32" s="337"/>
      <c r="C32" s="157"/>
      <c r="D32" s="324" t="s">
        <v>178</v>
      </c>
      <c r="E32" s="324"/>
      <c r="F32" s="324"/>
      <c r="G32" s="324"/>
      <c r="H32" s="324"/>
      <c r="I32" s="324"/>
      <c r="J32" s="324"/>
      <c r="K32" s="324"/>
      <c r="L32" s="324"/>
      <c r="M32" s="158"/>
      <c r="N32" s="325"/>
      <c r="O32" s="326"/>
      <c r="P32" s="207"/>
      <c r="R32" s="40"/>
    </row>
    <row r="33" spans="1:18" ht="22" thickBot="1" x14ac:dyDescent="0.2">
      <c r="A33" s="207"/>
      <c r="B33" s="338"/>
      <c r="C33" s="159"/>
      <c r="D33" s="327" t="s">
        <v>179</v>
      </c>
      <c r="E33" s="327"/>
      <c r="F33" s="327"/>
      <c r="G33" s="327"/>
      <c r="H33" s="327"/>
      <c r="I33" s="327"/>
      <c r="J33" s="327"/>
      <c r="K33" s="327"/>
      <c r="L33" s="327"/>
      <c r="M33" s="160"/>
      <c r="N33" s="328"/>
      <c r="O33" s="329"/>
      <c r="P33" s="207"/>
      <c r="R33" s="40"/>
    </row>
    <row r="34" spans="1:18" ht="16" thickBot="1" x14ac:dyDescent="0.2">
      <c r="A34" s="207"/>
      <c r="B34" s="127"/>
      <c r="C34" s="127"/>
      <c r="D34" s="347"/>
      <c r="E34" s="347"/>
      <c r="F34" s="347"/>
      <c r="G34" s="347"/>
      <c r="H34" s="347"/>
      <c r="I34" s="347"/>
      <c r="J34" s="347"/>
      <c r="K34" s="347"/>
      <c r="L34" s="347"/>
      <c r="M34" s="130"/>
      <c r="N34" s="346"/>
      <c r="O34" s="346"/>
      <c r="P34" s="207"/>
      <c r="R34" s="40"/>
    </row>
    <row r="35" spans="1:18" ht="22" thickBot="1" x14ac:dyDescent="0.2">
      <c r="A35" s="207"/>
      <c r="B35" s="330" t="s">
        <v>203</v>
      </c>
      <c r="C35" s="153" t="s">
        <v>169</v>
      </c>
      <c r="D35" s="339" t="s">
        <v>170</v>
      </c>
      <c r="E35" s="339"/>
      <c r="F35" s="339"/>
      <c r="G35" s="339"/>
      <c r="H35" s="339"/>
      <c r="I35" s="339"/>
      <c r="J35" s="339"/>
      <c r="K35" s="339"/>
      <c r="L35" s="339"/>
      <c r="M35" s="154" t="s">
        <v>171</v>
      </c>
      <c r="N35" s="340" t="s">
        <v>136</v>
      </c>
      <c r="O35" s="341"/>
      <c r="P35" s="207"/>
      <c r="R35" s="40"/>
    </row>
    <row r="36" spans="1:18" ht="21" x14ac:dyDescent="0.15">
      <c r="A36" s="207"/>
      <c r="B36" s="331"/>
      <c r="C36" s="155"/>
      <c r="D36" s="342" t="s">
        <v>180</v>
      </c>
      <c r="E36" s="342"/>
      <c r="F36" s="342"/>
      <c r="G36" s="342"/>
      <c r="H36" s="342"/>
      <c r="I36" s="342"/>
      <c r="J36" s="342"/>
      <c r="K36" s="342"/>
      <c r="L36" s="342"/>
      <c r="M36" s="161"/>
      <c r="N36" s="343"/>
      <c r="O36" s="344"/>
      <c r="P36" s="207"/>
      <c r="R36" s="40"/>
    </row>
    <row r="37" spans="1:18" ht="21" x14ac:dyDescent="0.15">
      <c r="A37" s="207"/>
      <c r="B37" s="331"/>
      <c r="C37" s="157"/>
      <c r="D37" s="324" t="s">
        <v>181</v>
      </c>
      <c r="E37" s="324"/>
      <c r="F37" s="324"/>
      <c r="G37" s="324"/>
      <c r="H37" s="324"/>
      <c r="I37" s="324"/>
      <c r="J37" s="324"/>
      <c r="K37" s="324"/>
      <c r="L37" s="324"/>
      <c r="M37" s="162"/>
      <c r="N37" s="325"/>
      <c r="O37" s="326"/>
      <c r="P37" s="207"/>
      <c r="R37" s="40"/>
    </row>
    <row r="38" spans="1:18" ht="21" x14ac:dyDescent="0.15">
      <c r="A38" s="207"/>
      <c r="B38" s="331"/>
      <c r="C38" s="157"/>
      <c r="D38" s="324" t="s">
        <v>176</v>
      </c>
      <c r="E38" s="324"/>
      <c r="F38" s="324"/>
      <c r="G38" s="324"/>
      <c r="H38" s="324"/>
      <c r="I38" s="324"/>
      <c r="J38" s="324"/>
      <c r="K38" s="324"/>
      <c r="L38" s="324"/>
      <c r="M38" s="162"/>
      <c r="N38" s="325"/>
      <c r="O38" s="326"/>
      <c r="P38" s="207"/>
      <c r="R38" s="40"/>
    </row>
    <row r="39" spans="1:18" ht="21" x14ac:dyDescent="0.15">
      <c r="A39" s="207"/>
      <c r="B39" s="331"/>
      <c r="C39" s="157"/>
      <c r="D39" s="324" t="s">
        <v>182</v>
      </c>
      <c r="E39" s="324"/>
      <c r="F39" s="324"/>
      <c r="G39" s="324"/>
      <c r="H39" s="324"/>
      <c r="I39" s="324"/>
      <c r="J39" s="324"/>
      <c r="K39" s="324"/>
      <c r="L39" s="324"/>
      <c r="M39" s="162"/>
      <c r="N39" s="325"/>
      <c r="O39" s="326"/>
      <c r="P39" s="207"/>
      <c r="R39" s="40"/>
    </row>
    <row r="40" spans="1:18" ht="21" x14ac:dyDescent="0.15">
      <c r="A40" s="207"/>
      <c r="B40" s="331"/>
      <c r="C40" s="157"/>
      <c r="D40" s="324" t="s">
        <v>183</v>
      </c>
      <c r="E40" s="324"/>
      <c r="F40" s="324"/>
      <c r="G40" s="324"/>
      <c r="H40" s="324"/>
      <c r="I40" s="324"/>
      <c r="J40" s="324"/>
      <c r="K40" s="324"/>
      <c r="L40" s="324"/>
      <c r="M40" s="162"/>
      <c r="N40" s="325"/>
      <c r="O40" s="326"/>
      <c r="P40" s="207"/>
      <c r="R40" s="40"/>
    </row>
    <row r="41" spans="1:18" ht="21" x14ac:dyDescent="0.15">
      <c r="A41" s="207"/>
      <c r="B41" s="331"/>
      <c r="C41" s="157"/>
      <c r="D41" s="324" t="s">
        <v>184</v>
      </c>
      <c r="E41" s="324"/>
      <c r="F41" s="324"/>
      <c r="G41" s="324"/>
      <c r="H41" s="324"/>
      <c r="I41" s="324"/>
      <c r="J41" s="324"/>
      <c r="K41" s="324"/>
      <c r="L41" s="324"/>
      <c r="M41" s="162"/>
      <c r="N41" s="325"/>
      <c r="O41" s="326"/>
      <c r="P41" s="207"/>
      <c r="R41" s="40"/>
    </row>
    <row r="42" spans="1:18" ht="21" x14ac:dyDescent="0.15">
      <c r="A42" s="207"/>
      <c r="B42" s="331"/>
      <c r="C42" s="157"/>
      <c r="D42" s="324"/>
      <c r="E42" s="324"/>
      <c r="F42" s="324"/>
      <c r="G42" s="324"/>
      <c r="H42" s="324"/>
      <c r="I42" s="324"/>
      <c r="J42" s="324"/>
      <c r="K42" s="324"/>
      <c r="L42" s="324"/>
      <c r="M42" s="162"/>
      <c r="N42" s="325"/>
      <c r="O42" s="326"/>
      <c r="P42" s="207"/>
      <c r="R42" s="40"/>
    </row>
    <row r="43" spans="1:18" ht="21" x14ac:dyDescent="0.15">
      <c r="A43" s="207"/>
      <c r="B43" s="331"/>
      <c r="C43" s="333" t="s">
        <v>106</v>
      </c>
      <c r="D43" s="334"/>
      <c r="E43" s="334"/>
      <c r="F43" s="334"/>
      <c r="G43" s="334"/>
      <c r="H43" s="334"/>
      <c r="I43" s="334"/>
      <c r="J43" s="334"/>
      <c r="K43" s="334"/>
      <c r="L43" s="334"/>
      <c r="M43" s="334"/>
      <c r="N43" s="334"/>
      <c r="O43" s="335"/>
      <c r="P43" s="207"/>
      <c r="R43" s="40"/>
    </row>
    <row r="44" spans="1:18" ht="21" x14ac:dyDescent="0.15">
      <c r="A44" s="207"/>
      <c r="B44" s="331"/>
      <c r="C44" s="157"/>
      <c r="D44" s="324" t="s">
        <v>185</v>
      </c>
      <c r="E44" s="324"/>
      <c r="F44" s="324"/>
      <c r="G44" s="324"/>
      <c r="H44" s="324"/>
      <c r="I44" s="324"/>
      <c r="J44" s="324"/>
      <c r="K44" s="324"/>
      <c r="L44" s="324"/>
      <c r="M44" s="162"/>
      <c r="N44" s="325"/>
      <c r="O44" s="326"/>
      <c r="P44" s="207"/>
      <c r="R44" s="40"/>
    </row>
    <row r="45" spans="1:18" ht="21" x14ac:dyDescent="0.15">
      <c r="A45" s="207"/>
      <c r="B45" s="331"/>
      <c r="C45" s="157"/>
      <c r="D45" s="324" t="s">
        <v>174</v>
      </c>
      <c r="E45" s="324"/>
      <c r="F45" s="324"/>
      <c r="G45" s="324"/>
      <c r="H45" s="324"/>
      <c r="I45" s="324"/>
      <c r="J45" s="324"/>
      <c r="K45" s="324"/>
      <c r="L45" s="324"/>
      <c r="M45" s="162"/>
      <c r="N45" s="325"/>
      <c r="O45" s="326"/>
      <c r="P45" s="207"/>
      <c r="R45" s="40"/>
    </row>
    <row r="46" spans="1:18" ht="21" x14ac:dyDescent="0.15">
      <c r="A46" s="207"/>
      <c r="B46" s="331"/>
      <c r="C46" s="157"/>
      <c r="D46" s="324" t="s">
        <v>181</v>
      </c>
      <c r="E46" s="324"/>
      <c r="F46" s="324"/>
      <c r="G46" s="324"/>
      <c r="H46" s="324"/>
      <c r="I46" s="324"/>
      <c r="J46" s="324"/>
      <c r="K46" s="324"/>
      <c r="L46" s="324"/>
      <c r="M46" s="162"/>
      <c r="N46" s="325"/>
      <c r="O46" s="326"/>
      <c r="P46" s="207"/>
      <c r="R46" s="40"/>
    </row>
    <row r="47" spans="1:18" ht="21" x14ac:dyDescent="0.15">
      <c r="A47" s="207"/>
      <c r="B47" s="331"/>
      <c r="C47" s="157"/>
      <c r="D47" s="324" t="s">
        <v>186</v>
      </c>
      <c r="E47" s="324"/>
      <c r="F47" s="324"/>
      <c r="G47" s="324"/>
      <c r="H47" s="324"/>
      <c r="I47" s="324"/>
      <c r="J47" s="324"/>
      <c r="K47" s="324"/>
      <c r="L47" s="324"/>
      <c r="M47" s="162"/>
      <c r="N47" s="325"/>
      <c r="O47" s="326"/>
      <c r="P47" s="207"/>
      <c r="R47" s="40"/>
    </row>
    <row r="48" spans="1:18" ht="22" thickBot="1" x14ac:dyDescent="0.2">
      <c r="A48" s="207"/>
      <c r="B48" s="332"/>
      <c r="C48" s="159"/>
      <c r="D48" s="327" t="s">
        <v>187</v>
      </c>
      <c r="E48" s="327"/>
      <c r="F48" s="327"/>
      <c r="G48" s="327"/>
      <c r="H48" s="327"/>
      <c r="I48" s="327"/>
      <c r="J48" s="327"/>
      <c r="K48" s="327"/>
      <c r="L48" s="327"/>
      <c r="M48" s="163"/>
      <c r="N48" s="328"/>
      <c r="O48" s="329"/>
      <c r="P48" s="207"/>
      <c r="R48" s="40"/>
    </row>
    <row r="49" spans="1:18" ht="20" thickBot="1" x14ac:dyDescent="0.2">
      <c r="A49" s="207"/>
      <c r="B49" s="140"/>
      <c r="C49" s="136"/>
      <c r="D49" s="141"/>
      <c r="E49" s="141"/>
      <c r="F49" s="141"/>
      <c r="G49" s="141"/>
      <c r="H49" s="141"/>
      <c r="I49" s="141"/>
      <c r="J49" s="141"/>
      <c r="K49" s="141"/>
      <c r="L49" s="141"/>
      <c r="M49" s="142"/>
      <c r="N49" s="143"/>
      <c r="O49" s="143"/>
      <c r="P49" s="207"/>
      <c r="R49" s="40"/>
    </row>
    <row r="50" spans="1:18" ht="22" thickBot="1" x14ac:dyDescent="0.2">
      <c r="A50" s="207"/>
      <c r="B50" s="336" t="s">
        <v>204</v>
      </c>
      <c r="C50" s="153" t="s">
        <v>169</v>
      </c>
      <c r="D50" s="339" t="s">
        <v>170</v>
      </c>
      <c r="E50" s="339"/>
      <c r="F50" s="339"/>
      <c r="G50" s="339"/>
      <c r="H50" s="339"/>
      <c r="I50" s="339"/>
      <c r="J50" s="339"/>
      <c r="K50" s="339"/>
      <c r="L50" s="339"/>
      <c r="M50" s="154" t="s">
        <v>171</v>
      </c>
      <c r="N50" s="340" t="s">
        <v>136</v>
      </c>
      <c r="O50" s="341"/>
      <c r="P50" s="207"/>
      <c r="R50" s="40"/>
    </row>
    <row r="51" spans="1:18" ht="21" x14ac:dyDescent="0.15">
      <c r="A51" s="207"/>
      <c r="B51" s="337"/>
      <c r="C51" s="155"/>
      <c r="D51" s="342" t="s">
        <v>188</v>
      </c>
      <c r="E51" s="342"/>
      <c r="F51" s="342"/>
      <c r="G51" s="342"/>
      <c r="H51" s="342"/>
      <c r="I51" s="342"/>
      <c r="J51" s="342"/>
      <c r="K51" s="342"/>
      <c r="L51" s="342"/>
      <c r="M51" s="161"/>
      <c r="N51" s="343"/>
      <c r="O51" s="344"/>
      <c r="P51" s="207"/>
      <c r="R51" s="40"/>
    </row>
    <row r="52" spans="1:18" ht="21" x14ac:dyDescent="0.15">
      <c r="A52" s="207"/>
      <c r="B52" s="337"/>
      <c r="C52" s="157"/>
      <c r="D52" s="324" t="s">
        <v>189</v>
      </c>
      <c r="E52" s="324"/>
      <c r="F52" s="324"/>
      <c r="G52" s="324"/>
      <c r="H52" s="324"/>
      <c r="I52" s="324"/>
      <c r="J52" s="324"/>
      <c r="K52" s="324"/>
      <c r="L52" s="324"/>
      <c r="M52" s="162"/>
      <c r="N52" s="325"/>
      <c r="O52" s="326"/>
      <c r="P52" s="207"/>
      <c r="R52" s="40"/>
    </row>
    <row r="53" spans="1:18" ht="21" x14ac:dyDescent="0.15">
      <c r="A53" s="207"/>
      <c r="B53" s="337"/>
      <c r="C53" s="157"/>
      <c r="D53" s="324" t="s">
        <v>190</v>
      </c>
      <c r="E53" s="324"/>
      <c r="F53" s="324"/>
      <c r="G53" s="324"/>
      <c r="H53" s="324"/>
      <c r="I53" s="324"/>
      <c r="J53" s="324"/>
      <c r="K53" s="324"/>
      <c r="L53" s="324"/>
      <c r="M53" s="162"/>
      <c r="N53" s="325"/>
      <c r="O53" s="326"/>
      <c r="P53" s="207"/>
      <c r="R53" s="40"/>
    </row>
    <row r="54" spans="1:18" ht="22" thickBot="1" x14ac:dyDescent="0.2">
      <c r="A54" s="207"/>
      <c r="B54" s="338"/>
      <c r="C54" s="159"/>
      <c r="D54" s="327" t="s">
        <v>191</v>
      </c>
      <c r="E54" s="327"/>
      <c r="F54" s="327"/>
      <c r="G54" s="327"/>
      <c r="H54" s="327"/>
      <c r="I54" s="327"/>
      <c r="J54" s="327"/>
      <c r="K54" s="327"/>
      <c r="L54" s="327"/>
      <c r="M54" s="163"/>
      <c r="N54" s="328"/>
      <c r="O54" s="329"/>
      <c r="P54" s="207"/>
      <c r="R54" s="40"/>
    </row>
    <row r="55" spans="1:18" ht="16" x14ac:dyDescent="0.15">
      <c r="A55" s="207"/>
      <c r="B55" s="139"/>
      <c r="C55" s="128"/>
      <c r="D55" s="137"/>
      <c r="E55" s="137"/>
      <c r="F55" s="137"/>
      <c r="G55" s="137"/>
      <c r="H55" s="137"/>
      <c r="I55" s="137"/>
      <c r="J55" s="137"/>
      <c r="K55" s="137"/>
      <c r="L55" s="137"/>
      <c r="M55" s="135"/>
      <c r="N55" s="138"/>
      <c r="O55" s="138"/>
      <c r="P55" s="207"/>
      <c r="R55" s="40"/>
    </row>
    <row r="56" spans="1:18" ht="16" x14ac:dyDescent="0.15">
      <c r="A56" s="207"/>
      <c r="B56" s="165" t="s">
        <v>206</v>
      </c>
      <c r="C56" s="128"/>
      <c r="D56" s="137"/>
      <c r="E56" s="137"/>
      <c r="F56" s="137"/>
      <c r="G56" s="137"/>
      <c r="H56" s="137"/>
      <c r="I56" s="137"/>
      <c r="J56" s="137"/>
      <c r="K56" s="137"/>
      <c r="L56" s="137"/>
      <c r="M56" s="135"/>
      <c r="N56" s="138"/>
      <c r="O56" s="138"/>
      <c r="P56" s="207"/>
      <c r="R56" s="40"/>
    </row>
    <row r="57" spans="1:18" ht="16" x14ac:dyDescent="0.15">
      <c r="A57" s="207"/>
      <c r="B57" s="139"/>
      <c r="C57" s="134" t="s">
        <v>169</v>
      </c>
      <c r="D57" s="323" t="s">
        <v>193</v>
      </c>
      <c r="E57" s="323"/>
      <c r="F57" s="323"/>
      <c r="G57" s="323"/>
      <c r="H57" s="323"/>
      <c r="I57" s="323"/>
      <c r="J57" s="323"/>
      <c r="K57" s="323"/>
      <c r="L57" s="323"/>
      <c r="M57" s="323"/>
      <c r="N57" s="323"/>
      <c r="O57" s="323"/>
      <c r="P57" s="207"/>
      <c r="R57" s="40"/>
    </row>
    <row r="58" spans="1:18" ht="15" x14ac:dyDescent="0.15">
      <c r="A58" s="207"/>
      <c r="B58" s="127"/>
      <c r="C58" s="134" t="s">
        <v>171</v>
      </c>
      <c r="D58" s="323" t="s">
        <v>194</v>
      </c>
      <c r="E58" s="323"/>
      <c r="F58" s="323"/>
      <c r="G58" s="323"/>
      <c r="H58" s="323"/>
      <c r="I58" s="323"/>
      <c r="J58" s="323"/>
      <c r="K58" s="323"/>
      <c r="L58" s="323"/>
      <c r="M58" s="323"/>
      <c r="N58" s="323"/>
      <c r="O58" s="323"/>
      <c r="P58" s="207"/>
      <c r="R58" s="40"/>
    </row>
    <row r="59" spans="1:18" ht="5" customHeight="1" x14ac:dyDescent="0.2">
      <c r="A59" s="207"/>
      <c r="B59" s="207"/>
      <c r="C59" s="207"/>
      <c r="D59" s="207"/>
      <c r="E59" s="207"/>
      <c r="F59" s="207"/>
      <c r="G59" s="207"/>
      <c r="H59" s="207"/>
      <c r="I59" s="207"/>
      <c r="J59" s="207"/>
      <c r="K59" s="207"/>
      <c r="L59" s="207"/>
      <c r="M59" s="207"/>
      <c r="N59" s="207"/>
      <c r="O59" s="207"/>
      <c r="P59" s="207"/>
    </row>
    <row r="60" spans="1:18" ht="5" customHeight="1" thickBot="1" x14ac:dyDescent="0.25">
      <c r="A60" s="207"/>
      <c r="B60" s="207"/>
      <c r="C60" s="207"/>
      <c r="D60" s="207"/>
      <c r="E60" s="207"/>
      <c r="F60" s="207"/>
      <c r="G60" s="207"/>
      <c r="H60" s="207"/>
      <c r="I60" s="207"/>
      <c r="J60" s="207"/>
      <c r="K60" s="207"/>
      <c r="L60" s="207"/>
      <c r="M60" s="207"/>
      <c r="N60" s="207"/>
      <c r="O60" s="207"/>
      <c r="P60" s="207"/>
    </row>
    <row r="61" spans="1:18" ht="22" thickBot="1" x14ac:dyDescent="0.2">
      <c r="A61" s="207"/>
      <c r="B61" s="353" t="s">
        <v>136</v>
      </c>
      <c r="C61" s="354"/>
      <c r="D61" s="354"/>
      <c r="E61" s="354"/>
      <c r="F61" s="354"/>
      <c r="G61" s="354"/>
      <c r="H61" s="354"/>
      <c r="I61" s="354"/>
      <c r="J61" s="354"/>
      <c r="K61" s="354"/>
      <c r="L61" s="354"/>
      <c r="M61" s="354"/>
      <c r="N61" s="354"/>
      <c r="O61" s="355"/>
      <c r="P61" s="207"/>
    </row>
    <row r="62" spans="1:18" ht="21" customHeight="1" x14ac:dyDescent="0.15">
      <c r="A62" s="207"/>
      <c r="B62" s="356">
        <f>(CAPTURA!H51)</f>
        <v>0</v>
      </c>
      <c r="C62" s="357"/>
      <c r="D62" s="357"/>
      <c r="E62" s="357"/>
      <c r="F62" s="357"/>
      <c r="G62" s="357"/>
      <c r="H62" s="357"/>
      <c r="I62" s="357"/>
      <c r="J62" s="357"/>
      <c r="K62" s="357"/>
      <c r="L62" s="357"/>
      <c r="M62" s="357"/>
      <c r="N62" s="357"/>
      <c r="O62" s="358"/>
      <c r="P62" s="207"/>
    </row>
    <row r="63" spans="1:18" ht="21" customHeight="1" x14ac:dyDescent="0.15">
      <c r="A63" s="207"/>
      <c r="B63" s="359">
        <f>(CAPTURA!H52)</f>
        <v>0</v>
      </c>
      <c r="C63" s="360"/>
      <c r="D63" s="360"/>
      <c r="E63" s="360"/>
      <c r="F63" s="360"/>
      <c r="G63" s="360"/>
      <c r="H63" s="360"/>
      <c r="I63" s="360"/>
      <c r="J63" s="360"/>
      <c r="K63" s="360"/>
      <c r="L63" s="360"/>
      <c r="M63" s="360"/>
      <c r="N63" s="360"/>
      <c r="O63" s="361"/>
      <c r="P63" s="207"/>
    </row>
    <row r="64" spans="1:18" ht="21" customHeight="1" x14ac:dyDescent="0.15">
      <c r="A64" s="207"/>
      <c r="B64" s="359">
        <f>(CAPTURA!H53)</f>
        <v>0</v>
      </c>
      <c r="C64" s="360"/>
      <c r="D64" s="360"/>
      <c r="E64" s="360"/>
      <c r="F64" s="360"/>
      <c r="G64" s="360"/>
      <c r="H64" s="360"/>
      <c r="I64" s="360"/>
      <c r="J64" s="360"/>
      <c r="K64" s="360"/>
      <c r="L64" s="360"/>
      <c r="M64" s="360"/>
      <c r="N64" s="360"/>
      <c r="O64" s="361"/>
      <c r="P64" s="207"/>
    </row>
    <row r="65" spans="1:16" ht="21" customHeight="1" x14ac:dyDescent="0.15">
      <c r="A65" s="207"/>
      <c r="B65" s="359">
        <f>(CAPTURA!H54)</f>
        <v>0</v>
      </c>
      <c r="C65" s="360"/>
      <c r="D65" s="360"/>
      <c r="E65" s="360"/>
      <c r="F65" s="360"/>
      <c r="G65" s="360"/>
      <c r="H65" s="360"/>
      <c r="I65" s="360"/>
      <c r="J65" s="360"/>
      <c r="K65" s="360"/>
      <c r="L65" s="360"/>
      <c r="M65" s="360"/>
      <c r="N65" s="360"/>
      <c r="O65" s="361"/>
      <c r="P65" s="207"/>
    </row>
    <row r="66" spans="1:16" ht="21" customHeight="1" thickBot="1" x14ac:dyDescent="0.2">
      <c r="A66" s="207"/>
      <c r="B66" s="350">
        <f>(CAPTURA!H55)</f>
        <v>0</v>
      </c>
      <c r="C66" s="351"/>
      <c r="D66" s="351"/>
      <c r="E66" s="351"/>
      <c r="F66" s="351"/>
      <c r="G66" s="351"/>
      <c r="H66" s="351"/>
      <c r="I66" s="351"/>
      <c r="J66" s="351"/>
      <c r="K66" s="351"/>
      <c r="L66" s="351"/>
      <c r="M66" s="351"/>
      <c r="N66" s="351"/>
      <c r="O66" s="352"/>
      <c r="P66" s="207"/>
    </row>
    <row r="67" spans="1:16" ht="14" x14ac:dyDescent="0.2">
      <c r="A67" s="20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207"/>
    </row>
    <row r="68" spans="1:16" ht="14" x14ac:dyDescent="0.2">
      <c r="A68" s="20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207"/>
    </row>
    <row r="69" spans="1:16" ht="14" x14ac:dyDescent="0.2">
      <c r="A69" s="20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207"/>
    </row>
    <row r="70" spans="1:16" ht="14" x14ac:dyDescent="0.2">
      <c r="A70" s="20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207"/>
    </row>
    <row r="71" spans="1:16" ht="14" x14ac:dyDescent="0.2">
      <c r="A71" s="20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207"/>
    </row>
    <row r="72" spans="1:16" ht="15" customHeight="1" x14ac:dyDescent="0.2">
      <c r="A72" s="207"/>
      <c r="B72" s="37"/>
      <c r="C72" s="320"/>
      <c r="D72" s="320"/>
      <c r="E72" s="320"/>
      <c r="F72" s="320"/>
      <c r="G72" s="37"/>
      <c r="H72" s="320"/>
      <c r="I72" s="320"/>
      <c r="J72" s="320"/>
      <c r="K72" s="320"/>
      <c r="L72" s="37"/>
      <c r="M72" s="37"/>
      <c r="N72" s="207"/>
      <c r="O72" s="207"/>
      <c r="P72" s="207"/>
    </row>
    <row r="73" spans="1:16" ht="15" customHeight="1" x14ac:dyDescent="0.2">
      <c r="A73" s="207"/>
      <c r="B73" s="37"/>
      <c r="C73" s="320"/>
      <c r="D73" s="320"/>
      <c r="E73" s="320"/>
      <c r="F73" s="320"/>
      <c r="G73" s="37"/>
      <c r="H73" s="320"/>
      <c r="I73" s="320"/>
      <c r="J73" s="320"/>
      <c r="K73" s="320"/>
      <c r="L73" s="37"/>
      <c r="M73" s="37"/>
      <c r="N73" s="207"/>
      <c r="O73" s="207"/>
      <c r="P73" s="207"/>
    </row>
    <row r="74" spans="1:16" ht="15" customHeight="1" x14ac:dyDescent="0.2">
      <c r="A74" s="207"/>
      <c r="B74" s="37"/>
      <c r="C74" s="320"/>
      <c r="D74" s="320"/>
      <c r="E74" s="320"/>
      <c r="F74" s="320"/>
      <c r="G74" s="37"/>
      <c r="H74" s="320"/>
      <c r="I74" s="320"/>
      <c r="J74" s="320"/>
      <c r="K74" s="320"/>
      <c r="L74" s="37"/>
      <c r="M74" s="37"/>
      <c r="N74" s="207"/>
      <c r="O74" s="207"/>
      <c r="P74" s="207"/>
    </row>
    <row r="75" spans="1:16" ht="15.75" customHeight="1" thickBot="1" x14ac:dyDescent="0.25">
      <c r="A75" s="207"/>
      <c r="B75" s="37"/>
      <c r="C75" s="321"/>
      <c r="D75" s="321"/>
      <c r="E75" s="321"/>
      <c r="F75" s="321"/>
      <c r="G75" s="37"/>
      <c r="H75" s="321"/>
      <c r="I75" s="321"/>
      <c r="J75" s="321"/>
      <c r="K75" s="321"/>
      <c r="L75" s="37"/>
      <c r="M75" s="37"/>
      <c r="N75" s="322"/>
      <c r="O75" s="322"/>
      <c r="P75" s="207"/>
    </row>
    <row r="76" spans="1:16" s="24" customFormat="1" ht="21" x14ac:dyDescent="0.25">
      <c r="A76" s="207"/>
      <c r="C76" s="318"/>
      <c r="D76" s="318"/>
      <c r="E76" s="318"/>
      <c r="F76" s="318"/>
      <c r="G76" s="164"/>
      <c r="H76" s="318"/>
      <c r="I76" s="318"/>
      <c r="J76" s="318"/>
      <c r="K76" s="318"/>
      <c r="L76" s="164"/>
      <c r="M76" s="164"/>
      <c r="N76" s="318" t="s">
        <v>195</v>
      </c>
      <c r="O76" s="318"/>
      <c r="P76" s="207"/>
    </row>
    <row r="77" spans="1:16" s="24" customFormat="1" ht="21" x14ac:dyDescent="0.25">
      <c r="A77" s="207"/>
      <c r="C77" s="318" t="s">
        <v>69</v>
      </c>
      <c r="D77" s="318"/>
      <c r="E77" s="318"/>
      <c r="F77" s="318"/>
      <c r="G77" s="164"/>
      <c r="H77" s="319" t="s">
        <v>205</v>
      </c>
      <c r="I77" s="319"/>
      <c r="J77" s="319"/>
      <c r="K77" s="319"/>
      <c r="L77" s="164"/>
      <c r="M77" s="164"/>
      <c r="N77" s="319" t="s">
        <v>129</v>
      </c>
      <c r="O77" s="319"/>
      <c r="P77" s="207"/>
    </row>
    <row r="78" spans="1:16" ht="14" x14ac:dyDescent="0.2">
      <c r="A78" s="207"/>
      <c r="B78" s="37"/>
      <c r="C78" s="101"/>
      <c r="D78" s="101"/>
      <c r="E78" s="101"/>
      <c r="F78" s="101"/>
      <c r="G78" s="37"/>
      <c r="H78" s="101"/>
      <c r="I78" s="101"/>
      <c r="J78" s="101"/>
      <c r="K78" s="101"/>
      <c r="L78" s="101"/>
      <c r="M78" s="37"/>
      <c r="N78" s="101"/>
      <c r="O78" s="101"/>
      <c r="P78" s="207"/>
    </row>
    <row r="79" spans="1:16" ht="14" x14ac:dyDescent="0.2">
      <c r="A79" s="207"/>
      <c r="B79" s="207"/>
      <c r="C79" s="207"/>
      <c r="D79" s="207"/>
      <c r="E79" s="207"/>
      <c r="F79" s="207"/>
      <c r="G79" s="207"/>
      <c r="H79" s="207"/>
      <c r="I79" s="207"/>
      <c r="J79" s="207"/>
      <c r="K79" s="207"/>
      <c r="L79" s="207"/>
      <c r="M79" s="207"/>
      <c r="N79" s="207"/>
      <c r="O79" s="207"/>
      <c r="P79" s="207"/>
    </row>
  </sheetData>
  <mergeCells count="108">
    <mergeCell ref="P1:P79"/>
    <mergeCell ref="B2:M5"/>
    <mergeCell ref="N2:O2"/>
    <mergeCell ref="B6:O6"/>
    <mergeCell ref="B7:O7"/>
    <mergeCell ref="B9:O9"/>
    <mergeCell ref="M15:O15"/>
    <mergeCell ref="D16:I16"/>
    <mergeCell ref="M16:O16"/>
    <mergeCell ref="D11:I11"/>
    <mergeCell ref="M11:O11"/>
    <mergeCell ref="M12:O12"/>
    <mergeCell ref="D13:I13"/>
    <mergeCell ref="M13:O13"/>
    <mergeCell ref="M14:O14"/>
    <mergeCell ref="D15:I15"/>
    <mergeCell ref="L20:O20"/>
    <mergeCell ref="L21:O22"/>
    <mergeCell ref="D12:I12"/>
    <mergeCell ref="D41:L41"/>
    <mergeCell ref="N41:O41"/>
    <mergeCell ref="D42:L42"/>
    <mergeCell ref="N42:O42"/>
    <mergeCell ref="N30:O30"/>
    <mergeCell ref="A1:A79"/>
    <mergeCell ref="B1:O1"/>
    <mergeCell ref="B79:O79"/>
    <mergeCell ref="D10:O10"/>
    <mergeCell ref="D21:D22"/>
    <mergeCell ref="F21:F22"/>
    <mergeCell ref="D25:L25"/>
    <mergeCell ref="D26:L26"/>
    <mergeCell ref="N76:O76"/>
    <mergeCell ref="D44:L44"/>
    <mergeCell ref="N44:O44"/>
    <mergeCell ref="D45:L45"/>
    <mergeCell ref="N45:O45"/>
    <mergeCell ref="B66:O66"/>
    <mergeCell ref="B60:O60"/>
    <mergeCell ref="B61:O61"/>
    <mergeCell ref="B62:O62"/>
    <mergeCell ref="B63:O63"/>
    <mergeCell ref="B64:O64"/>
    <mergeCell ref="B65:O65"/>
    <mergeCell ref="B59:O59"/>
    <mergeCell ref="D17:I17"/>
    <mergeCell ref="M17:O17"/>
    <mergeCell ref="D14:I14"/>
    <mergeCell ref="B26:B33"/>
    <mergeCell ref="D37:L37"/>
    <mergeCell ref="N37:O37"/>
    <mergeCell ref="N31:O31"/>
    <mergeCell ref="N32:O32"/>
    <mergeCell ref="N33:O33"/>
    <mergeCell ref="N34:O34"/>
    <mergeCell ref="N36:O36"/>
    <mergeCell ref="D33:L33"/>
    <mergeCell ref="D34:L34"/>
    <mergeCell ref="D36:L36"/>
    <mergeCell ref="D40:L40"/>
    <mergeCell ref="N40:O40"/>
    <mergeCell ref="N38:O38"/>
    <mergeCell ref="H21:H22"/>
    <mergeCell ref="D29:L29"/>
    <mergeCell ref="D30:L30"/>
    <mergeCell ref="D31:L31"/>
    <mergeCell ref="D32:L32"/>
    <mergeCell ref="N25:O25"/>
    <mergeCell ref="N26:O26"/>
    <mergeCell ref="N27:O27"/>
    <mergeCell ref="N28:O28"/>
    <mergeCell ref="N29:O29"/>
    <mergeCell ref="D27:L27"/>
    <mergeCell ref="D28:L28"/>
    <mergeCell ref="D38:L38"/>
    <mergeCell ref="D57:O57"/>
    <mergeCell ref="D53:L53"/>
    <mergeCell ref="N53:O53"/>
    <mergeCell ref="D54:L54"/>
    <mergeCell ref="N54:O54"/>
    <mergeCell ref="B35:B48"/>
    <mergeCell ref="C43:O43"/>
    <mergeCell ref="B50:B54"/>
    <mergeCell ref="D50:L50"/>
    <mergeCell ref="N50:O50"/>
    <mergeCell ref="D35:L35"/>
    <mergeCell ref="N35:O35"/>
    <mergeCell ref="D51:L51"/>
    <mergeCell ref="N51:O51"/>
    <mergeCell ref="D52:L52"/>
    <mergeCell ref="N52:O52"/>
    <mergeCell ref="D46:L46"/>
    <mergeCell ref="N46:O46"/>
    <mergeCell ref="D47:L47"/>
    <mergeCell ref="N47:O47"/>
    <mergeCell ref="D48:L48"/>
    <mergeCell ref="N48:O48"/>
    <mergeCell ref="D39:L39"/>
    <mergeCell ref="N39:O39"/>
    <mergeCell ref="C77:F77"/>
    <mergeCell ref="N77:O77"/>
    <mergeCell ref="H72:K75"/>
    <mergeCell ref="H77:K77"/>
    <mergeCell ref="H76:K76"/>
    <mergeCell ref="C72:F75"/>
    <mergeCell ref="N72:O75"/>
    <mergeCell ref="C76:F76"/>
    <mergeCell ref="D58:O58"/>
  </mergeCells>
  <printOptions horizontalCentered="1"/>
  <pageMargins left="0.39370078740157483" right="0.39370078740157483" top="0.39370078740157483" bottom="0.39370078740157483" header="0" footer="0"/>
  <pageSetup scale="50" orientation="portrait" horizont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7">
    <pageSetUpPr fitToPage="1"/>
  </sheetPr>
  <dimension ref="A1:AL50"/>
  <sheetViews>
    <sheetView showGridLines="0" showRowColHeaders="0" zoomScale="70" zoomScaleNormal="70" workbookViewId="0">
      <selection activeCell="B14" sqref="B14:AK14"/>
    </sheetView>
  </sheetViews>
  <sheetFormatPr baseColWidth="10" defaultColWidth="0" defaultRowHeight="14.25" customHeight="1" zeroHeight="1" x14ac:dyDescent="0.2"/>
  <cols>
    <col min="1" max="38" width="2.6640625" style="166" customWidth="1"/>
    <col min="39" max="16384" width="2.6640625" style="166" hidden="1"/>
  </cols>
  <sheetData>
    <row r="1" spans="2:37" ht="15" x14ac:dyDescent="0.2"/>
    <row r="2" spans="2:37" s="125" customFormat="1" ht="13" x14ac:dyDescent="0.15"/>
    <row r="3" spans="2:37" s="125" customFormat="1" ht="13" x14ac:dyDescent="0.15"/>
    <row r="4" spans="2:37" s="125" customFormat="1" ht="13" x14ac:dyDescent="0.15"/>
    <row r="5" spans="2:37" s="125" customFormat="1" ht="22.5" customHeight="1" x14ac:dyDescent="0.15"/>
    <row r="6" spans="2:37" ht="15" x14ac:dyDescent="0.2"/>
    <row r="7" spans="2:37" s="167" customFormat="1" ht="36" x14ac:dyDescent="0.5">
      <c r="B7" s="374" t="s">
        <v>210</v>
      </c>
      <c r="C7" s="374"/>
      <c r="D7" s="374"/>
      <c r="E7" s="374"/>
      <c r="F7" s="374"/>
      <c r="G7" s="374"/>
      <c r="H7" s="374"/>
      <c r="I7" s="374"/>
      <c r="J7" s="374"/>
      <c r="K7" s="374"/>
      <c r="L7" s="374"/>
      <c r="M7" s="374"/>
      <c r="N7" s="374"/>
      <c r="O7" s="374"/>
      <c r="P7" s="374"/>
      <c r="Q7" s="374"/>
      <c r="R7" s="374"/>
      <c r="S7" s="374"/>
      <c r="T7" s="374"/>
      <c r="U7" s="374"/>
      <c r="V7" s="374"/>
      <c r="W7" s="374"/>
      <c r="X7" s="374"/>
      <c r="Y7" s="374"/>
      <c r="Z7" s="374"/>
      <c r="AA7" s="374"/>
      <c r="AB7" s="374"/>
      <c r="AC7" s="374"/>
      <c r="AD7" s="374"/>
      <c r="AE7" s="374"/>
      <c r="AF7" s="374"/>
      <c r="AG7" s="374"/>
      <c r="AH7" s="374"/>
      <c r="AI7" s="374"/>
      <c r="AJ7" s="374"/>
      <c r="AK7" s="374"/>
    </row>
    <row r="8" spans="2:37" ht="15" x14ac:dyDescent="0.2"/>
    <row r="9" spans="2:37" ht="15" x14ac:dyDescent="0.2"/>
    <row r="10" spans="2:37" ht="15" x14ac:dyDescent="0.2"/>
    <row r="11" spans="2:37" ht="15" x14ac:dyDescent="0.2"/>
    <row r="12" spans="2:37" ht="15" x14ac:dyDescent="0.2">
      <c r="B12" s="166" t="s">
        <v>216</v>
      </c>
    </row>
    <row r="13" spans="2:37" ht="15" x14ac:dyDescent="0.2">
      <c r="B13" s="168"/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168"/>
      <c r="AK13" s="168"/>
    </row>
    <row r="14" spans="2:37" ht="21" x14ac:dyDescent="0.25">
      <c r="B14" s="375" t="s">
        <v>226</v>
      </c>
      <c r="C14" s="376"/>
      <c r="D14" s="376"/>
      <c r="E14" s="376"/>
      <c r="F14" s="376"/>
      <c r="G14" s="376"/>
      <c r="H14" s="376"/>
      <c r="I14" s="376"/>
      <c r="J14" s="376"/>
      <c r="K14" s="376"/>
      <c r="L14" s="376"/>
      <c r="M14" s="376"/>
      <c r="N14" s="376"/>
      <c r="O14" s="376"/>
      <c r="P14" s="376"/>
      <c r="Q14" s="376"/>
      <c r="R14" s="376"/>
      <c r="S14" s="376"/>
      <c r="T14" s="376"/>
      <c r="U14" s="376"/>
      <c r="V14" s="376"/>
      <c r="W14" s="376"/>
      <c r="X14" s="376"/>
      <c r="Y14" s="376"/>
      <c r="Z14" s="376"/>
      <c r="AA14" s="376"/>
      <c r="AB14" s="376"/>
      <c r="AC14" s="376"/>
      <c r="AD14" s="376"/>
      <c r="AE14" s="376"/>
      <c r="AF14" s="376"/>
      <c r="AG14" s="376"/>
      <c r="AH14" s="376"/>
      <c r="AI14" s="376"/>
      <c r="AJ14" s="376"/>
      <c r="AK14" s="376"/>
    </row>
    <row r="15" spans="2:37" ht="15" x14ac:dyDescent="0.2">
      <c r="B15" s="168"/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</row>
    <row r="16" spans="2:37" ht="15" x14ac:dyDescent="0.2">
      <c r="B16" s="377" t="s">
        <v>211</v>
      </c>
      <c r="C16" s="377"/>
      <c r="D16" s="377"/>
      <c r="E16" s="377"/>
      <c r="F16" s="377"/>
      <c r="G16" s="377"/>
      <c r="H16" s="377"/>
      <c r="I16" s="377"/>
      <c r="J16" s="377"/>
      <c r="K16" s="377"/>
      <c r="L16" s="377"/>
      <c r="M16" s="377"/>
      <c r="N16" s="377"/>
      <c r="O16" s="377"/>
      <c r="P16" s="377"/>
      <c r="Q16" s="377"/>
      <c r="R16" s="377"/>
      <c r="S16" s="377"/>
      <c r="T16" s="377"/>
      <c r="U16" s="377"/>
      <c r="V16" s="377"/>
      <c r="W16" s="377"/>
      <c r="X16" s="377"/>
      <c r="Y16" s="377"/>
      <c r="Z16" s="377"/>
      <c r="AA16" s="377"/>
      <c r="AB16" s="377"/>
      <c r="AC16" s="377"/>
      <c r="AD16" s="377"/>
      <c r="AE16" s="377"/>
      <c r="AF16" s="377"/>
      <c r="AG16" s="377"/>
      <c r="AH16" s="377"/>
      <c r="AI16" s="377"/>
      <c r="AJ16" s="377"/>
      <c r="AK16" s="377"/>
    </row>
    <row r="17" spans="2:37" ht="15" x14ac:dyDescent="0.2"/>
    <row r="18" spans="2:37" ht="18" x14ac:dyDescent="0.2">
      <c r="B18" s="378" t="s">
        <v>227</v>
      </c>
      <c r="C18" s="378"/>
      <c r="D18" s="378"/>
      <c r="E18" s="378"/>
      <c r="F18" s="378"/>
      <c r="G18" s="378"/>
      <c r="H18" s="378"/>
      <c r="I18" s="378"/>
      <c r="J18" s="378"/>
      <c r="K18" s="378"/>
      <c r="L18" s="378"/>
      <c r="M18" s="378"/>
      <c r="N18" s="378"/>
      <c r="O18" s="378"/>
      <c r="P18" s="378"/>
      <c r="Q18" s="378"/>
      <c r="R18" s="378"/>
      <c r="S18" s="378"/>
      <c r="T18" s="378"/>
      <c r="U18" s="378"/>
      <c r="V18" s="378"/>
      <c r="W18" s="378"/>
      <c r="X18" s="378"/>
      <c r="Y18" s="378"/>
      <c r="Z18" s="378"/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</row>
    <row r="19" spans="2:37" ht="15" x14ac:dyDescent="0.2"/>
    <row r="20" spans="2:37" ht="15" x14ac:dyDescent="0.2"/>
    <row r="21" spans="2:37" ht="15" x14ac:dyDescent="0.2"/>
    <row r="22" spans="2:37" ht="15" x14ac:dyDescent="0.2"/>
    <row r="23" spans="2:37" ht="16" x14ac:dyDescent="0.2">
      <c r="Q23" s="169" t="s">
        <v>212</v>
      </c>
      <c r="S23" s="379">
        <f>(CAPTURA!I26)</f>
        <v>2100000</v>
      </c>
      <c r="T23" s="371"/>
      <c r="U23" s="371"/>
      <c r="V23" s="371"/>
      <c r="W23" s="371"/>
      <c r="X23" s="371"/>
      <c r="Y23" s="371"/>
    </row>
    <row r="24" spans="2:37" ht="16" x14ac:dyDescent="0.2">
      <c r="S24" s="170"/>
      <c r="T24" s="170"/>
      <c r="U24" s="170"/>
      <c r="V24" s="170"/>
      <c r="W24" s="170"/>
      <c r="X24" s="170"/>
      <c r="Y24" s="170"/>
    </row>
    <row r="25" spans="2:37" ht="16" x14ac:dyDescent="0.2">
      <c r="S25" s="170"/>
      <c r="T25" s="170"/>
      <c r="U25" s="170"/>
      <c r="V25" s="170"/>
      <c r="W25" s="170"/>
      <c r="X25" s="170"/>
      <c r="Y25" s="170"/>
    </row>
    <row r="26" spans="2:37" ht="16" x14ac:dyDescent="0.2">
      <c r="Q26" s="169"/>
      <c r="S26" s="380"/>
      <c r="T26" s="380"/>
      <c r="U26" s="380"/>
      <c r="V26" s="380"/>
      <c r="W26" s="380"/>
      <c r="X26" s="380"/>
      <c r="Y26" s="380"/>
    </row>
    <row r="27" spans="2:37" ht="16" x14ac:dyDescent="0.2">
      <c r="S27" s="170"/>
      <c r="T27" s="170"/>
      <c r="U27" s="170"/>
      <c r="V27" s="170"/>
      <c r="W27" s="170"/>
      <c r="X27" s="170"/>
      <c r="Y27" s="170"/>
    </row>
    <row r="28" spans="2:37" ht="16" x14ac:dyDescent="0.2">
      <c r="S28" s="170"/>
      <c r="T28" s="170"/>
      <c r="U28" s="170"/>
      <c r="V28" s="170"/>
      <c r="W28" s="170"/>
      <c r="X28" s="170"/>
      <c r="Y28" s="170"/>
    </row>
    <row r="29" spans="2:37" ht="16" x14ac:dyDescent="0.2">
      <c r="Q29" s="169"/>
      <c r="S29" s="381"/>
      <c r="T29" s="381"/>
      <c r="U29" s="381"/>
      <c r="V29" s="381"/>
      <c r="W29" s="381"/>
      <c r="X29" s="381"/>
      <c r="Y29" s="381"/>
    </row>
    <row r="30" spans="2:37" ht="15" x14ac:dyDescent="0.2"/>
    <row r="31" spans="2:37" ht="15" x14ac:dyDescent="0.2"/>
    <row r="32" spans="2:37" ht="15" x14ac:dyDescent="0.2"/>
    <row r="33" spans="3:36" ht="15" customHeight="1" x14ac:dyDescent="0.2">
      <c r="C33" s="373" t="s">
        <v>199</v>
      </c>
      <c r="D33" s="373"/>
      <c r="E33" s="373"/>
      <c r="F33" s="373"/>
      <c r="H33" s="373" t="s">
        <v>168</v>
      </c>
      <c r="I33" s="373"/>
      <c r="J33" s="373"/>
      <c r="L33" s="373" t="s">
        <v>213</v>
      </c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Y33" s="373"/>
      <c r="Z33" s="373"/>
      <c r="AA33" s="373"/>
      <c r="AB33" s="373"/>
      <c r="AC33" s="373"/>
      <c r="AD33" s="373"/>
      <c r="AE33" s="373"/>
      <c r="AG33" s="373" t="s">
        <v>214</v>
      </c>
      <c r="AH33" s="373"/>
      <c r="AI33" s="373"/>
      <c r="AJ33" s="373"/>
    </row>
    <row r="34" spans="3:36" s="171" customFormat="1" ht="16" x14ac:dyDescent="0.2">
      <c r="C34" s="371">
        <f>(CAPTURA!I19)</f>
        <v>45</v>
      </c>
      <c r="D34" s="371"/>
      <c r="E34" s="371"/>
      <c r="F34" s="371"/>
      <c r="H34" s="371">
        <f>(CAPTURA!I20)</f>
        <v>16</v>
      </c>
      <c r="I34" s="371"/>
      <c r="J34" s="371"/>
      <c r="L34" s="371" t="str">
        <f>(CAPTURA!I22)</f>
        <v>AZALEA</v>
      </c>
      <c r="M34" s="371"/>
      <c r="N34" s="371"/>
      <c r="O34" s="371"/>
      <c r="P34" s="371"/>
      <c r="Q34" s="371"/>
      <c r="R34" s="371"/>
      <c r="S34" s="371"/>
      <c r="T34" s="371"/>
      <c r="U34" s="371"/>
      <c r="V34" s="371"/>
      <c r="W34" s="371"/>
      <c r="X34" s="371"/>
      <c r="Y34" s="371"/>
      <c r="Z34" s="371"/>
      <c r="AA34" s="371"/>
      <c r="AB34" s="371"/>
      <c r="AC34" s="371"/>
      <c r="AD34" s="371"/>
      <c r="AE34" s="371"/>
      <c r="AG34" s="371">
        <f>(CAPTURA!I21)</f>
        <v>114</v>
      </c>
      <c r="AH34" s="371"/>
      <c r="AI34" s="371"/>
      <c r="AJ34" s="371"/>
    </row>
    <row r="35" spans="3:36" ht="15" x14ac:dyDescent="0.2"/>
    <row r="36" spans="3:36" ht="15" x14ac:dyDescent="0.2"/>
    <row r="37" spans="3:36" ht="15" x14ac:dyDescent="0.2"/>
    <row r="38" spans="3:36" ht="15" x14ac:dyDescent="0.2"/>
    <row r="39" spans="3:36" ht="15" x14ac:dyDescent="0.2"/>
    <row r="40" spans="3:36" ht="15" x14ac:dyDescent="0.2"/>
    <row r="41" spans="3:36" ht="15" x14ac:dyDescent="0.2"/>
    <row r="42" spans="3:36" ht="15" x14ac:dyDescent="0.2"/>
    <row r="43" spans="3:36" ht="15" x14ac:dyDescent="0.2"/>
    <row r="44" spans="3:36" ht="15" x14ac:dyDescent="0.2"/>
    <row r="45" spans="3:36" s="170" customFormat="1" ht="16" x14ac:dyDescent="0.2">
      <c r="D45" s="372" t="str">
        <f>CONCATENATE(CAPTURA!E11, " ",CAPTURA!E12, " ", CAPTURA!E13)</f>
        <v>AMIRA IRACEMA TORRES GONZALEZ</v>
      </c>
      <c r="E45" s="372"/>
      <c r="F45" s="372"/>
      <c r="G45" s="372"/>
      <c r="H45" s="372"/>
      <c r="I45" s="372"/>
      <c r="J45" s="372"/>
      <c r="K45" s="372"/>
      <c r="L45" s="372"/>
      <c r="M45" s="372"/>
      <c r="N45" s="372"/>
      <c r="O45" s="372"/>
      <c r="P45" s="372"/>
      <c r="Q45" s="372"/>
      <c r="R45" s="372"/>
      <c r="V45" s="372" t="str">
        <f>CONCATENATE(CAPTURA!I11, " ",CAPTURA!I12, " ",CAPTURA!I13)</f>
        <v>MARIA ELENA HINOJOSA PLANCARTE</v>
      </c>
      <c r="W45" s="372"/>
      <c r="X45" s="372"/>
      <c r="Y45" s="372"/>
      <c r="Z45" s="372"/>
      <c r="AA45" s="372"/>
      <c r="AB45" s="372"/>
      <c r="AC45" s="372"/>
      <c r="AD45" s="372"/>
      <c r="AE45" s="372"/>
      <c r="AF45" s="372"/>
      <c r="AG45" s="372"/>
      <c r="AH45" s="372"/>
      <c r="AI45" s="372"/>
    </row>
    <row r="46" spans="3:36" s="125" customFormat="1" ht="15" customHeight="1" x14ac:dyDescent="0.15">
      <c r="D46" s="125" t="s">
        <v>215</v>
      </c>
      <c r="V46" s="370" t="s">
        <v>192</v>
      </c>
      <c r="W46" s="370"/>
      <c r="X46" s="370"/>
      <c r="Y46" s="370"/>
      <c r="Z46" s="370"/>
      <c r="AA46" s="370"/>
      <c r="AB46" s="370"/>
      <c r="AC46" s="370"/>
      <c r="AD46" s="370"/>
      <c r="AE46" s="370"/>
      <c r="AF46" s="370"/>
      <c r="AG46" s="370"/>
      <c r="AH46" s="370"/>
      <c r="AI46" s="370"/>
    </row>
    <row r="47" spans="3:36" ht="15" x14ac:dyDescent="0.2"/>
    <row r="48" spans="3:36" ht="15" x14ac:dyDescent="0.2">
      <c r="AI48" s="126"/>
    </row>
    <row r="49" ht="15" x14ac:dyDescent="0.2"/>
    <row r="50" ht="15" x14ac:dyDescent="0.2"/>
  </sheetData>
  <sheetProtection selectLockedCells="1"/>
  <mergeCells count="18">
    <mergeCell ref="AG33:AJ33"/>
    <mergeCell ref="B7:AK7"/>
    <mergeCell ref="B14:AK14"/>
    <mergeCell ref="B16:AK16"/>
    <mergeCell ref="B18:AK18"/>
    <mergeCell ref="S23:Y23"/>
    <mergeCell ref="S26:Y26"/>
    <mergeCell ref="S29:Y29"/>
    <mergeCell ref="C33:F33"/>
    <mergeCell ref="H33:J33"/>
    <mergeCell ref="L33:AE33"/>
    <mergeCell ref="V46:AI46"/>
    <mergeCell ref="C34:F34"/>
    <mergeCell ref="H34:J34"/>
    <mergeCell ref="L34:AE34"/>
    <mergeCell ref="AG34:AJ34"/>
    <mergeCell ref="D45:R45"/>
    <mergeCell ref="V45:AI45"/>
  </mergeCells>
  <printOptions horizontalCentered="1" verticalCentered="1"/>
  <pageMargins left="0.19685039370078741" right="0.19685039370078741" top="0.19685039370078741" bottom="0.19685039370078741" header="0.6692913385826772" footer="0.31496062992125984"/>
  <pageSetup scale="99" fitToHeight="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65"/>
  <sheetViews>
    <sheetView showGridLines="0" showRowColHeaders="0" zoomScale="80" zoomScaleNormal="80" workbookViewId="0">
      <selection activeCell="B17" sqref="B17:AK17"/>
    </sheetView>
  </sheetViews>
  <sheetFormatPr baseColWidth="10" defaultColWidth="0" defaultRowHeight="14.25" customHeight="1" zeroHeight="1" x14ac:dyDescent="0.2"/>
  <cols>
    <col min="1" max="6" width="2.6640625" style="166" customWidth="1"/>
    <col min="7" max="7" width="4.83203125" style="166" customWidth="1"/>
    <col min="8" max="9" width="2.6640625" style="166" customWidth="1"/>
    <col min="10" max="10" width="8.6640625" style="166" customWidth="1"/>
    <col min="11" max="38" width="2.6640625" style="166" customWidth="1"/>
    <col min="39" max="16384" width="2.6640625" style="166" hidden="1"/>
  </cols>
  <sheetData>
    <row r="1" spans="2:37" s="125" customFormat="1" ht="13" x14ac:dyDescent="0.15"/>
    <row r="2" spans="2:37" s="125" customFormat="1" ht="13" x14ac:dyDescent="0.15"/>
    <row r="3" spans="2:37" s="125" customFormat="1" ht="13" x14ac:dyDescent="0.15"/>
    <row r="4" spans="2:37" s="125" customFormat="1" ht="22.5" customHeight="1" x14ac:dyDescent="0.15"/>
    <row r="5" spans="2:37" ht="15" x14ac:dyDescent="0.2"/>
    <row r="6" spans="2:37" s="167" customFormat="1" ht="36" x14ac:dyDescent="0.25">
      <c r="B6" s="388" t="s">
        <v>217</v>
      </c>
      <c r="C6" s="388"/>
      <c r="D6" s="388"/>
      <c r="E6" s="388"/>
      <c r="F6" s="388"/>
      <c r="G6" s="388"/>
      <c r="H6" s="388"/>
      <c r="I6" s="388"/>
      <c r="J6" s="388"/>
      <c r="K6" s="388"/>
      <c r="L6" s="388"/>
      <c r="M6" s="388"/>
      <c r="N6" s="388"/>
      <c r="O6" s="388"/>
      <c r="P6" s="388"/>
      <c r="Q6" s="388"/>
      <c r="R6" s="388"/>
      <c r="S6" s="388"/>
      <c r="T6" s="388"/>
      <c r="U6" s="388"/>
      <c r="V6" s="388"/>
      <c r="W6" s="388"/>
      <c r="X6" s="388"/>
      <c r="Y6" s="388"/>
      <c r="Z6" s="388"/>
      <c r="AA6" s="388"/>
      <c r="AB6" s="388"/>
      <c r="AC6" s="388"/>
      <c r="AD6" s="388"/>
      <c r="AE6" s="388"/>
      <c r="AF6" s="388"/>
      <c r="AG6" s="388"/>
      <c r="AH6" s="388"/>
      <c r="AI6" s="388"/>
      <c r="AJ6" s="388"/>
      <c r="AK6" s="388"/>
    </row>
    <row r="7" spans="2:37" ht="15" x14ac:dyDescent="0.2"/>
    <row r="8" spans="2:37" ht="15" x14ac:dyDescent="0.2">
      <c r="AD8" s="382">
        <f ca="1">TODAY()</f>
        <v>46079</v>
      </c>
      <c r="AE8" s="382"/>
      <c r="AF8" s="382"/>
      <c r="AG8" s="382"/>
      <c r="AH8" s="382"/>
      <c r="AI8" s="382"/>
      <c r="AJ8" s="382"/>
    </row>
    <row r="9" spans="2:37" ht="15" x14ac:dyDescent="0.2"/>
    <row r="10" spans="2:37" ht="15" x14ac:dyDescent="0.2"/>
    <row r="11" spans="2:37" ht="15" x14ac:dyDescent="0.2">
      <c r="B11" s="172" t="s">
        <v>218</v>
      </c>
    </row>
    <row r="12" spans="2:37" ht="15" x14ac:dyDescent="0.2">
      <c r="B12" s="168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K12" s="168"/>
    </row>
    <row r="13" spans="2:37" ht="21" x14ac:dyDescent="0.2">
      <c r="B13" s="389" t="str">
        <f>(CAPTURA!I17)</f>
        <v>SANTTE RESIDENCIAL</v>
      </c>
      <c r="C13" s="390"/>
      <c r="D13" s="390"/>
      <c r="E13" s="390"/>
      <c r="F13" s="390"/>
      <c r="G13" s="390"/>
      <c r="H13" s="390"/>
      <c r="I13" s="390"/>
      <c r="J13" s="390"/>
      <c r="K13" s="390"/>
      <c r="L13" s="390"/>
      <c r="M13" s="390"/>
      <c r="N13" s="390"/>
      <c r="O13" s="390"/>
      <c r="P13" s="390"/>
      <c r="Q13" s="390"/>
      <c r="R13" s="390"/>
      <c r="S13" s="390"/>
      <c r="T13" s="390"/>
      <c r="U13" s="390"/>
      <c r="V13" s="390"/>
      <c r="W13" s="390"/>
      <c r="X13" s="390"/>
      <c r="Y13" s="390"/>
      <c r="Z13" s="390"/>
      <c r="AA13" s="390"/>
      <c r="AB13" s="390"/>
      <c r="AC13" s="390"/>
      <c r="AD13" s="390"/>
      <c r="AE13" s="390"/>
      <c r="AF13" s="390"/>
      <c r="AG13" s="390"/>
      <c r="AH13" s="390"/>
      <c r="AI13" s="390"/>
      <c r="AJ13" s="390"/>
      <c r="AK13" s="390"/>
    </row>
    <row r="14" spans="2:37" ht="15" x14ac:dyDescent="0.2">
      <c r="B14" s="168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68"/>
    </row>
    <row r="15" spans="2:37" ht="15" x14ac:dyDescent="0.2">
      <c r="B15" s="391" t="s">
        <v>211</v>
      </c>
      <c r="C15" s="391"/>
      <c r="D15" s="391"/>
      <c r="E15" s="391"/>
      <c r="F15" s="391"/>
      <c r="G15" s="391"/>
      <c r="H15" s="391"/>
      <c r="I15" s="391"/>
      <c r="J15" s="391"/>
      <c r="K15" s="391"/>
      <c r="L15" s="391"/>
      <c r="M15" s="391"/>
      <c r="N15" s="391"/>
      <c r="O15" s="391"/>
      <c r="P15" s="391"/>
      <c r="Q15" s="391"/>
      <c r="R15" s="391"/>
      <c r="S15" s="391"/>
      <c r="T15" s="391"/>
      <c r="U15" s="391"/>
      <c r="V15" s="391"/>
      <c r="W15" s="391"/>
      <c r="X15" s="391"/>
      <c r="Y15" s="391"/>
      <c r="Z15" s="391"/>
      <c r="AA15" s="391"/>
      <c r="AB15" s="391"/>
      <c r="AC15" s="391"/>
      <c r="AD15" s="391"/>
      <c r="AE15" s="391"/>
      <c r="AF15" s="391"/>
      <c r="AG15" s="391"/>
      <c r="AH15" s="391"/>
      <c r="AI15" s="391"/>
      <c r="AJ15" s="391"/>
      <c r="AK15" s="391"/>
    </row>
    <row r="16" spans="2:37" ht="15" x14ac:dyDescent="0.2"/>
    <row r="17" spans="2:37" ht="18" x14ac:dyDescent="0.2">
      <c r="B17" s="392" t="s">
        <v>227</v>
      </c>
      <c r="C17" s="392"/>
      <c r="D17" s="392"/>
      <c r="E17" s="392"/>
      <c r="F17" s="392"/>
      <c r="G17" s="392"/>
      <c r="H17" s="392"/>
      <c r="I17" s="392"/>
      <c r="J17" s="392"/>
      <c r="K17" s="392"/>
      <c r="L17" s="392"/>
      <c r="M17" s="392"/>
      <c r="N17" s="392"/>
      <c r="O17" s="392"/>
      <c r="P17" s="392"/>
      <c r="Q17" s="392"/>
      <c r="R17" s="392"/>
      <c r="S17" s="392"/>
      <c r="T17" s="392"/>
      <c r="U17" s="392"/>
      <c r="V17" s="392"/>
      <c r="W17" s="392"/>
      <c r="X17" s="392"/>
      <c r="Y17" s="392"/>
      <c r="Z17" s="392"/>
      <c r="AA17" s="392"/>
      <c r="AB17" s="392"/>
      <c r="AC17" s="392"/>
      <c r="AD17" s="392"/>
      <c r="AE17" s="392"/>
      <c r="AF17" s="392"/>
      <c r="AG17" s="392"/>
      <c r="AH17" s="392"/>
      <c r="AI17" s="392"/>
      <c r="AJ17" s="392"/>
      <c r="AK17" s="392"/>
    </row>
    <row r="18" spans="2:37" ht="15" x14ac:dyDescent="0.2"/>
    <row r="19" spans="2:37" ht="15" x14ac:dyDescent="0.2"/>
    <row r="20" spans="2:37" ht="15" customHeight="1" x14ac:dyDescent="0.2">
      <c r="C20" s="383" t="s">
        <v>219</v>
      </c>
      <c r="D20" s="383"/>
      <c r="E20" s="383"/>
      <c r="F20" s="383"/>
      <c r="H20" s="387" t="s">
        <v>220</v>
      </c>
      <c r="I20" s="387"/>
      <c r="J20" s="387"/>
      <c r="K20" s="387"/>
      <c r="L20" s="387"/>
      <c r="M20" s="387"/>
      <c r="N20" s="387"/>
      <c r="O20" s="387"/>
      <c r="P20" s="387"/>
      <c r="Q20" s="387"/>
      <c r="R20" s="387"/>
      <c r="S20" s="387"/>
      <c r="T20" s="387"/>
      <c r="U20" s="387"/>
      <c r="V20" s="387"/>
      <c r="W20" s="387"/>
      <c r="X20" s="387"/>
      <c r="Y20" s="387"/>
      <c r="Z20" s="387"/>
      <c r="AA20" s="387"/>
      <c r="AB20" s="387"/>
      <c r="AC20" s="387"/>
      <c r="AD20" s="387"/>
      <c r="AE20" s="387"/>
      <c r="AF20" s="387"/>
      <c r="AG20" s="387"/>
      <c r="AH20" s="387"/>
      <c r="AI20" s="387"/>
    </row>
    <row r="21" spans="2:37" ht="16" x14ac:dyDescent="0.2">
      <c r="C21" s="384">
        <f>(CAPTURA!E9)</f>
        <v>0</v>
      </c>
      <c r="D21" s="385"/>
      <c r="E21" s="385"/>
      <c r="F21" s="385"/>
      <c r="H21" s="385" t="str">
        <f>CONCATENATE(CAPTURA!E11, " ",CAPTURA!E12, " ", CAPTURA!E13)</f>
        <v>AMIRA IRACEMA TORRES GONZALEZ</v>
      </c>
      <c r="I21" s="385"/>
      <c r="J21" s="385"/>
      <c r="K21" s="385"/>
      <c r="L21" s="385"/>
      <c r="M21" s="385"/>
      <c r="N21" s="385"/>
      <c r="O21" s="385"/>
      <c r="P21" s="385"/>
      <c r="Q21" s="385"/>
      <c r="R21" s="385"/>
      <c r="S21" s="385"/>
      <c r="T21" s="385"/>
      <c r="U21" s="385"/>
      <c r="V21" s="385"/>
      <c r="W21" s="385"/>
      <c r="X21" s="385"/>
      <c r="Y21" s="385"/>
      <c r="Z21" s="385"/>
      <c r="AA21" s="385"/>
      <c r="AB21" s="385"/>
      <c r="AC21" s="385"/>
      <c r="AD21" s="385"/>
      <c r="AE21" s="385"/>
      <c r="AF21" s="385"/>
      <c r="AG21" s="385"/>
      <c r="AH21" s="385"/>
      <c r="AI21" s="385"/>
    </row>
    <row r="22" spans="2:37" ht="16" x14ac:dyDescent="0.2">
      <c r="C22" s="173"/>
      <c r="D22" s="173"/>
      <c r="E22" s="173"/>
      <c r="F22" s="173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</row>
    <row r="23" spans="2:37" ht="16" x14ac:dyDescent="0.2">
      <c r="C23" s="173"/>
      <c r="D23" s="173"/>
      <c r="E23" s="173"/>
      <c r="F23" s="173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</row>
    <row r="24" spans="2:37" ht="15" x14ac:dyDescent="0.2"/>
    <row r="25" spans="2:37" ht="15" customHeight="1" x14ac:dyDescent="0.2">
      <c r="C25" s="383" t="s">
        <v>199</v>
      </c>
      <c r="D25" s="383"/>
      <c r="E25" s="383"/>
      <c r="F25" s="383"/>
      <c r="G25" s="172"/>
      <c r="H25" s="383" t="s">
        <v>168</v>
      </c>
      <c r="I25" s="383"/>
      <c r="J25" s="383"/>
      <c r="K25" s="172"/>
      <c r="L25" s="383" t="s">
        <v>213</v>
      </c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Y25" s="383"/>
      <c r="Z25" s="383"/>
      <c r="AA25" s="383"/>
      <c r="AB25" s="383"/>
      <c r="AC25" s="383"/>
      <c r="AD25" s="383"/>
      <c r="AE25" s="383"/>
      <c r="AF25" s="172"/>
      <c r="AG25" s="383" t="s">
        <v>214</v>
      </c>
      <c r="AH25" s="383"/>
      <c r="AI25" s="383"/>
      <c r="AJ25" s="383"/>
    </row>
    <row r="26" spans="2:37" s="171" customFormat="1" ht="16" x14ac:dyDescent="0.2">
      <c r="C26" s="386">
        <f>(CAPTURA!I19)</f>
        <v>45</v>
      </c>
      <c r="D26" s="386"/>
      <c r="E26" s="386"/>
      <c r="F26" s="386"/>
      <c r="H26" s="386">
        <f>(CAPTURA!I20)</f>
        <v>16</v>
      </c>
      <c r="I26" s="386"/>
      <c r="J26" s="386"/>
      <c r="L26" s="385" t="str">
        <f>(CAPTURA!I22)</f>
        <v>AZALEA</v>
      </c>
      <c r="M26" s="385"/>
      <c r="N26" s="385"/>
      <c r="O26" s="385"/>
      <c r="P26" s="385"/>
      <c r="Q26" s="385"/>
      <c r="R26" s="385"/>
      <c r="S26" s="385"/>
      <c r="T26" s="385"/>
      <c r="U26" s="385"/>
      <c r="V26" s="385"/>
      <c r="W26" s="385"/>
      <c r="X26" s="385"/>
      <c r="Y26" s="385"/>
      <c r="Z26" s="385"/>
      <c r="AA26" s="385"/>
      <c r="AB26" s="385"/>
      <c r="AC26" s="385"/>
      <c r="AD26" s="385"/>
      <c r="AE26" s="385"/>
      <c r="AG26" s="371">
        <f>(CAPTURA!I21)</f>
        <v>114</v>
      </c>
      <c r="AH26" s="371"/>
      <c r="AI26" s="371"/>
      <c r="AJ26" s="371"/>
    </row>
    <row r="27" spans="2:37" ht="15" x14ac:dyDescent="0.2"/>
    <row r="28" spans="2:37" ht="15" x14ac:dyDescent="0.2">
      <c r="L28" s="383" t="s">
        <v>224</v>
      </c>
      <c r="M28" s="383"/>
      <c r="N28" s="383"/>
      <c r="O28" s="383"/>
      <c r="P28" s="383"/>
      <c r="Q28" s="383"/>
      <c r="R28" s="383"/>
      <c r="S28" s="383"/>
      <c r="T28" s="383"/>
      <c r="U28" s="383"/>
      <c r="V28" s="383"/>
      <c r="W28" s="383"/>
      <c r="X28" s="383"/>
      <c r="Y28" s="383"/>
      <c r="Z28" s="383"/>
      <c r="AA28" s="383"/>
      <c r="AB28" s="383"/>
      <c r="AC28" s="383"/>
      <c r="AD28" s="383"/>
      <c r="AE28" s="383"/>
    </row>
    <row r="29" spans="2:37" ht="16" x14ac:dyDescent="0.2">
      <c r="L29" s="385"/>
      <c r="M29" s="385"/>
      <c r="N29" s="385"/>
      <c r="O29" s="385"/>
      <c r="P29" s="385"/>
      <c r="Q29" s="385"/>
      <c r="R29" s="385"/>
      <c r="S29" s="385"/>
      <c r="T29" s="385"/>
      <c r="U29" s="385"/>
      <c r="V29" s="385"/>
      <c r="W29" s="385"/>
      <c r="X29" s="385"/>
      <c r="Y29" s="385"/>
      <c r="Z29" s="385"/>
      <c r="AA29" s="385"/>
      <c r="AB29" s="385"/>
      <c r="AC29" s="385"/>
      <c r="AD29" s="385"/>
      <c r="AE29" s="385"/>
    </row>
    <row r="30" spans="2:37" ht="15" x14ac:dyDescent="0.2"/>
    <row r="31" spans="2:37" ht="15" x14ac:dyDescent="0.2"/>
    <row r="32" spans="2:37" ht="21" customHeight="1" x14ac:dyDescent="0.2">
      <c r="C32" s="387" t="s">
        <v>221</v>
      </c>
      <c r="D32" s="387"/>
      <c r="E32" s="387"/>
      <c r="F32" s="387"/>
      <c r="G32" s="387"/>
      <c r="H32" s="387"/>
      <c r="I32" s="387"/>
      <c r="J32" s="387"/>
      <c r="L32" s="394">
        <v>0</v>
      </c>
      <c r="M32" s="394"/>
      <c r="N32" s="394"/>
      <c r="O32" s="394"/>
      <c r="P32" s="394"/>
      <c r="Q32" s="394"/>
      <c r="R32" s="394"/>
      <c r="S32" s="394"/>
      <c r="T32" s="394"/>
      <c r="U32" s="394"/>
      <c r="V32" s="394"/>
      <c r="W32" s="394"/>
      <c r="X32" s="394"/>
      <c r="Y32" s="394"/>
      <c r="Z32" s="394"/>
      <c r="AA32" s="394"/>
      <c r="AB32" s="394"/>
      <c r="AC32" s="394"/>
      <c r="AD32" s="394"/>
      <c r="AE32" s="394"/>
      <c r="AF32" s="394"/>
      <c r="AG32" s="394"/>
      <c r="AH32" s="394"/>
      <c r="AI32" s="394"/>
      <c r="AJ32" s="394"/>
    </row>
    <row r="33" spans="3:36" ht="21" customHeight="1" x14ac:dyDescent="0.2">
      <c r="C33" s="387" t="s">
        <v>222</v>
      </c>
      <c r="D33" s="387"/>
      <c r="E33" s="387"/>
      <c r="F33" s="387"/>
      <c r="G33" s="387"/>
      <c r="H33" s="387"/>
      <c r="I33" s="387"/>
      <c r="J33" s="387"/>
      <c r="L33" s="394">
        <v>0</v>
      </c>
      <c r="M33" s="394"/>
      <c r="N33" s="394"/>
      <c r="O33" s="394"/>
      <c r="P33" s="394"/>
      <c r="Q33" s="394"/>
      <c r="R33" s="394"/>
      <c r="S33" s="394"/>
      <c r="T33" s="394"/>
      <c r="U33" s="394"/>
      <c r="V33" s="394"/>
      <c r="W33" s="394"/>
      <c r="X33" s="394"/>
      <c r="Y33" s="394"/>
      <c r="Z33" s="394"/>
      <c r="AA33" s="394"/>
      <c r="AB33" s="394"/>
      <c r="AC33" s="394"/>
      <c r="AD33" s="394"/>
      <c r="AE33" s="394"/>
      <c r="AF33" s="394"/>
      <c r="AG33" s="394"/>
      <c r="AH33" s="394"/>
      <c r="AI33" s="394"/>
      <c r="AJ33" s="394"/>
    </row>
    <row r="34" spans="3:36" ht="21" customHeight="1" x14ac:dyDescent="0.2">
      <c r="C34" s="387" t="s">
        <v>223</v>
      </c>
      <c r="D34" s="387"/>
      <c r="E34" s="387"/>
      <c r="F34" s="387"/>
      <c r="G34" s="387"/>
      <c r="H34" s="387"/>
      <c r="I34" s="387"/>
      <c r="J34" s="387"/>
      <c r="L34" s="394">
        <v>0</v>
      </c>
      <c r="M34" s="394"/>
      <c r="N34" s="394"/>
      <c r="O34" s="394"/>
      <c r="P34" s="394"/>
      <c r="Q34" s="394"/>
      <c r="R34" s="394"/>
      <c r="S34" s="394"/>
      <c r="T34" s="394"/>
      <c r="U34" s="394"/>
      <c r="V34" s="394"/>
      <c r="W34" s="394"/>
      <c r="X34" s="394"/>
      <c r="Y34" s="394"/>
      <c r="Z34" s="394"/>
      <c r="AA34" s="394"/>
      <c r="AB34" s="394"/>
      <c r="AC34" s="394"/>
      <c r="AD34" s="394"/>
      <c r="AE34" s="394"/>
      <c r="AF34" s="394"/>
      <c r="AG34" s="394"/>
      <c r="AH34" s="394"/>
      <c r="AI34" s="394"/>
      <c r="AJ34" s="394"/>
    </row>
    <row r="35" spans="3:36" ht="35.25" customHeight="1" x14ac:dyDescent="0.2">
      <c r="C35" s="166" t="s">
        <v>225</v>
      </c>
    </row>
    <row r="36" spans="3:36" ht="25" customHeight="1" x14ac:dyDescent="0.2">
      <c r="C36" s="393"/>
      <c r="D36" s="393"/>
      <c r="E36" s="393"/>
      <c r="F36" s="393"/>
      <c r="G36" s="393"/>
      <c r="H36" s="393"/>
      <c r="I36" s="393"/>
      <c r="J36" s="393"/>
      <c r="K36" s="393"/>
      <c r="L36" s="393"/>
      <c r="M36" s="393"/>
      <c r="N36" s="393"/>
      <c r="O36" s="393"/>
      <c r="P36" s="393"/>
      <c r="Q36" s="393"/>
      <c r="R36" s="393"/>
      <c r="S36" s="393"/>
      <c r="T36" s="393"/>
      <c r="U36" s="393"/>
      <c r="V36" s="393"/>
      <c r="W36" s="393"/>
      <c r="X36" s="393"/>
      <c r="Y36" s="393"/>
      <c r="Z36" s="393"/>
      <c r="AA36" s="393"/>
      <c r="AB36" s="393"/>
      <c r="AC36" s="393"/>
      <c r="AD36" s="393"/>
      <c r="AE36" s="393"/>
      <c r="AF36" s="393"/>
      <c r="AG36" s="393"/>
      <c r="AH36" s="393"/>
      <c r="AI36" s="393"/>
      <c r="AJ36" s="393"/>
    </row>
    <row r="37" spans="3:36" ht="25" customHeight="1" x14ac:dyDescent="0.2">
      <c r="C37" s="393"/>
      <c r="D37" s="393"/>
      <c r="E37" s="393"/>
      <c r="F37" s="393"/>
      <c r="G37" s="393"/>
      <c r="H37" s="393"/>
      <c r="I37" s="393"/>
      <c r="J37" s="393"/>
      <c r="K37" s="393"/>
      <c r="L37" s="393"/>
      <c r="M37" s="393"/>
      <c r="N37" s="393"/>
      <c r="O37" s="393"/>
      <c r="P37" s="393"/>
      <c r="Q37" s="393"/>
      <c r="R37" s="393"/>
      <c r="S37" s="393"/>
      <c r="T37" s="393"/>
      <c r="U37" s="393"/>
      <c r="V37" s="393"/>
      <c r="W37" s="393"/>
      <c r="X37" s="393"/>
      <c r="Y37" s="393"/>
      <c r="Z37" s="393"/>
      <c r="AA37" s="393"/>
      <c r="AB37" s="393"/>
      <c r="AC37" s="393"/>
      <c r="AD37" s="393"/>
      <c r="AE37" s="393"/>
      <c r="AF37" s="393"/>
      <c r="AG37" s="393"/>
      <c r="AH37" s="393"/>
      <c r="AI37" s="393"/>
      <c r="AJ37" s="393"/>
    </row>
    <row r="38" spans="3:36" ht="25" customHeight="1" x14ac:dyDescent="0.2">
      <c r="C38" s="393"/>
      <c r="D38" s="393"/>
      <c r="E38" s="393"/>
      <c r="F38" s="393"/>
      <c r="G38" s="393"/>
      <c r="H38" s="393"/>
      <c r="I38" s="393"/>
      <c r="J38" s="393"/>
      <c r="K38" s="393"/>
      <c r="L38" s="393"/>
      <c r="M38" s="393"/>
      <c r="N38" s="393"/>
      <c r="O38" s="393"/>
      <c r="P38" s="393"/>
      <c r="Q38" s="393"/>
      <c r="R38" s="393"/>
      <c r="S38" s="393"/>
      <c r="T38" s="393"/>
      <c r="U38" s="393"/>
      <c r="V38" s="393"/>
      <c r="W38" s="393"/>
      <c r="X38" s="393"/>
      <c r="Y38" s="393"/>
      <c r="Z38" s="393"/>
      <c r="AA38" s="393"/>
      <c r="AB38" s="393"/>
      <c r="AC38" s="393"/>
      <c r="AD38" s="393"/>
      <c r="AE38" s="393"/>
      <c r="AF38" s="393"/>
      <c r="AG38" s="393"/>
      <c r="AH38" s="393"/>
      <c r="AI38" s="393"/>
      <c r="AJ38" s="393"/>
    </row>
    <row r="39" spans="3:36" ht="25" customHeight="1" x14ac:dyDescent="0.2">
      <c r="C39" s="393"/>
      <c r="D39" s="393"/>
      <c r="E39" s="393"/>
      <c r="F39" s="393"/>
      <c r="G39" s="393"/>
      <c r="H39" s="393"/>
      <c r="I39" s="393"/>
      <c r="J39" s="393"/>
      <c r="K39" s="393"/>
      <c r="L39" s="393"/>
      <c r="M39" s="393"/>
      <c r="N39" s="393"/>
      <c r="O39" s="393"/>
      <c r="P39" s="393"/>
      <c r="Q39" s="393"/>
      <c r="R39" s="393"/>
      <c r="S39" s="393"/>
      <c r="T39" s="393"/>
      <c r="U39" s="393"/>
      <c r="V39" s="393"/>
      <c r="W39" s="393"/>
      <c r="X39" s="393"/>
      <c r="Y39" s="393"/>
      <c r="Z39" s="393"/>
      <c r="AA39" s="393"/>
      <c r="AB39" s="393"/>
      <c r="AC39" s="393"/>
      <c r="AD39" s="393"/>
      <c r="AE39" s="393"/>
      <c r="AF39" s="393"/>
      <c r="AG39" s="393"/>
      <c r="AH39" s="393"/>
      <c r="AI39" s="393"/>
      <c r="AJ39" s="393"/>
    </row>
    <row r="40" spans="3:36" ht="15" x14ac:dyDescent="0.2"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  <c r="AA40" s="175"/>
      <c r="AB40" s="175"/>
      <c r="AC40" s="175"/>
      <c r="AD40" s="175"/>
      <c r="AE40" s="175"/>
      <c r="AF40" s="175"/>
      <c r="AG40" s="175"/>
      <c r="AH40" s="175"/>
      <c r="AI40" s="175"/>
      <c r="AJ40" s="175"/>
    </row>
    <row r="41" spans="3:36" ht="15" x14ac:dyDescent="0.2"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  <c r="AA41" s="175"/>
      <c r="AB41" s="175"/>
      <c r="AC41" s="175"/>
      <c r="AD41" s="175"/>
      <c r="AE41" s="175"/>
      <c r="AF41" s="175"/>
      <c r="AG41" s="175"/>
      <c r="AH41" s="175"/>
      <c r="AI41" s="175"/>
      <c r="AJ41" s="175"/>
    </row>
    <row r="42" spans="3:36" ht="15" x14ac:dyDescent="0.2"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  <c r="AB42" s="175"/>
      <c r="AC42" s="175"/>
      <c r="AD42" s="175"/>
      <c r="AE42" s="175"/>
      <c r="AF42" s="175"/>
      <c r="AG42" s="175"/>
      <c r="AH42" s="175"/>
      <c r="AI42" s="175"/>
      <c r="AJ42" s="175"/>
    </row>
    <row r="43" spans="3:36" ht="15" x14ac:dyDescent="0.2"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175"/>
    </row>
    <row r="44" spans="3:36" ht="15" x14ac:dyDescent="0.2"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175"/>
      <c r="AB44" s="175"/>
      <c r="AC44" s="175"/>
      <c r="AD44" s="175"/>
      <c r="AE44" s="175"/>
      <c r="AF44" s="175"/>
      <c r="AG44" s="175"/>
      <c r="AH44" s="175"/>
      <c r="AI44" s="175"/>
      <c r="AJ44" s="175"/>
    </row>
    <row r="45" spans="3:36" ht="15" x14ac:dyDescent="0.2"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  <c r="AA45" s="175"/>
      <c r="AB45" s="175"/>
      <c r="AC45" s="175"/>
      <c r="AD45" s="175"/>
      <c r="AE45" s="175"/>
      <c r="AF45" s="175"/>
      <c r="AG45" s="175"/>
      <c r="AH45" s="175"/>
      <c r="AI45" s="175"/>
      <c r="AJ45" s="175"/>
    </row>
    <row r="46" spans="3:36" ht="15" x14ac:dyDescent="0.2"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  <c r="AA46" s="175"/>
      <c r="AB46" s="175"/>
      <c r="AC46" s="175"/>
      <c r="AD46" s="175"/>
      <c r="AE46" s="175"/>
      <c r="AF46" s="175"/>
      <c r="AG46" s="175"/>
      <c r="AH46" s="175"/>
      <c r="AI46" s="175"/>
      <c r="AJ46" s="175"/>
    </row>
    <row r="47" spans="3:36" ht="15" x14ac:dyDescent="0.2"/>
    <row r="48" spans="3:36" s="170" customFormat="1" ht="16" x14ac:dyDescent="0.2">
      <c r="D48" s="372" t="str">
        <f>CONCATENATE(CAPTURA!E11, " ",CAPTURA!E12, " ", CAPTURA!E13)</f>
        <v>AMIRA IRACEMA TORRES GONZALEZ</v>
      </c>
      <c r="E48" s="372"/>
      <c r="F48" s="372"/>
      <c r="G48" s="372"/>
      <c r="H48" s="372"/>
      <c r="I48" s="372"/>
      <c r="J48" s="372"/>
      <c r="K48" s="372"/>
      <c r="L48" s="372"/>
      <c r="M48" s="372"/>
      <c r="N48" s="372"/>
      <c r="O48" s="372"/>
      <c r="P48" s="372"/>
      <c r="Q48" s="372"/>
      <c r="R48" s="372"/>
      <c r="V48" s="372" t="str">
        <f>CONCATENATE(CAPTURA!I11, " ",CAPTURA!I12, " ",CAPTURA!I13)</f>
        <v>MARIA ELENA HINOJOSA PLANCARTE</v>
      </c>
      <c r="W48" s="372"/>
      <c r="X48" s="372"/>
      <c r="Y48" s="372"/>
      <c r="Z48" s="372"/>
      <c r="AA48" s="372"/>
      <c r="AB48" s="372"/>
      <c r="AC48" s="372"/>
      <c r="AD48" s="372"/>
      <c r="AE48" s="372"/>
      <c r="AF48" s="372"/>
      <c r="AG48" s="372"/>
      <c r="AH48" s="372"/>
      <c r="AI48" s="372"/>
    </row>
    <row r="49" spans="4:35" s="125" customFormat="1" ht="15" customHeight="1" x14ac:dyDescent="0.15">
      <c r="D49" s="125" t="s">
        <v>215</v>
      </c>
      <c r="V49" s="370" t="s">
        <v>192</v>
      </c>
      <c r="W49" s="370"/>
      <c r="X49" s="370"/>
      <c r="Y49" s="370"/>
      <c r="Z49" s="370"/>
      <c r="AA49" s="370"/>
      <c r="AB49" s="370"/>
      <c r="AC49" s="370"/>
      <c r="AD49" s="370"/>
      <c r="AE49" s="370"/>
      <c r="AF49" s="370"/>
      <c r="AG49" s="370"/>
      <c r="AH49" s="370"/>
      <c r="AI49" s="370"/>
    </row>
    <row r="50" spans="4:35" ht="15" x14ac:dyDescent="0.2"/>
    <row r="51" spans="4:35" ht="15" x14ac:dyDescent="0.2">
      <c r="AI51" s="126"/>
    </row>
    <row r="52" spans="4:35" ht="15" x14ac:dyDescent="0.2"/>
    <row r="53" spans="4:35" ht="15" x14ac:dyDescent="0.2"/>
    <row r="54" spans="4:35" ht="14.25" customHeight="1" x14ac:dyDescent="0.2"/>
    <row r="55" spans="4:35" ht="14.25" customHeight="1" x14ac:dyDescent="0.2"/>
    <row r="56" spans="4:35" ht="14.25" customHeight="1" x14ac:dyDescent="0.2"/>
    <row r="57" spans="4:35" ht="14.25" customHeight="1" x14ac:dyDescent="0.2"/>
    <row r="58" spans="4:35" ht="14.25" customHeight="1" x14ac:dyDescent="0.2"/>
    <row r="59" spans="4:35" ht="14.25" customHeight="1" x14ac:dyDescent="0.2"/>
    <row r="60" spans="4:35" ht="14.25" customHeight="1" x14ac:dyDescent="0.2"/>
    <row r="61" spans="4:35" ht="14.25" customHeight="1" x14ac:dyDescent="0.2"/>
    <row r="62" spans="4:35" ht="14.25" customHeight="1" x14ac:dyDescent="0.2"/>
    <row r="63" spans="4:35" ht="14.25" customHeight="1" x14ac:dyDescent="0.2"/>
    <row r="64" spans="4:35" ht="14.25" customHeight="1" x14ac:dyDescent="0.2"/>
    <row r="65" ht="14.25" customHeight="1" x14ac:dyDescent="0.2"/>
  </sheetData>
  <sheetProtection selectLockedCells="1"/>
  <mergeCells count="29">
    <mergeCell ref="B6:AK6"/>
    <mergeCell ref="B13:AK13"/>
    <mergeCell ref="B15:AK15"/>
    <mergeCell ref="B17:AK17"/>
    <mergeCell ref="D48:R48"/>
    <mergeCell ref="V48:AI48"/>
    <mergeCell ref="L28:AE28"/>
    <mergeCell ref="C36:AJ39"/>
    <mergeCell ref="C33:J33"/>
    <mergeCell ref="C34:J34"/>
    <mergeCell ref="L32:AJ32"/>
    <mergeCell ref="L33:AJ33"/>
    <mergeCell ref="L34:AJ34"/>
    <mergeCell ref="V49:AI49"/>
    <mergeCell ref="AD8:AJ8"/>
    <mergeCell ref="C20:F20"/>
    <mergeCell ref="C21:F21"/>
    <mergeCell ref="C25:F25"/>
    <mergeCell ref="H25:J25"/>
    <mergeCell ref="L25:AE25"/>
    <mergeCell ref="AG25:AJ25"/>
    <mergeCell ref="C26:F26"/>
    <mergeCell ref="H26:J26"/>
    <mergeCell ref="L26:AE26"/>
    <mergeCell ref="AG26:AJ26"/>
    <mergeCell ref="L29:AE29"/>
    <mergeCell ref="H20:AI20"/>
    <mergeCell ref="H21:AI21"/>
    <mergeCell ref="C32:J32"/>
  </mergeCells>
  <printOptions horizontalCentered="1" verticalCentered="1"/>
  <pageMargins left="0.19685039370078741" right="0.19685039370078741" top="0.19685039370078741" bottom="0.19685039370078741" header="0.6692913385826772" footer="0.31496062992125984"/>
  <pageSetup scale="92" fitToHeight="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1BA0F-4171-9F4D-B2D6-A461E7B53BCE}">
  <sheetPr>
    <tabColor rgb="FF00B050"/>
    <pageSetUpPr fitToPage="1"/>
  </sheetPr>
  <dimension ref="A1:N81"/>
  <sheetViews>
    <sheetView showGridLines="0" showZeros="0" tabSelected="1" view="pageBreakPreview" zoomScale="90" zoomScaleNormal="90" zoomScaleSheetLayoutView="90" zoomScalePageLayoutView="70" workbookViewId="0">
      <selection activeCell="H21" sqref="H21"/>
    </sheetView>
  </sheetViews>
  <sheetFormatPr baseColWidth="10" defaultColWidth="11.5" defaultRowHeight="12" x14ac:dyDescent="0.15"/>
  <cols>
    <col min="1" max="1" width="1.5" style="12" customWidth="1"/>
    <col min="2" max="2" width="19.1640625" style="12" customWidth="1"/>
    <col min="3" max="3" width="22" style="12" bestFit="1" customWidth="1"/>
    <col min="4" max="4" width="1.5" style="12" customWidth="1"/>
    <col min="5" max="5" width="12.5" style="12" bestFit="1" customWidth="1"/>
    <col min="6" max="6" width="2.33203125" style="12" customWidth="1"/>
    <col min="7" max="7" width="15.6640625" style="12" customWidth="1"/>
    <col min="8" max="8" width="17.5" style="12" bestFit="1" customWidth="1"/>
    <col min="9" max="9" width="2.5" style="12" customWidth="1"/>
    <col min="10" max="10" width="21" style="12" customWidth="1"/>
    <col min="11" max="11" width="28.1640625" style="12" customWidth="1"/>
    <col min="12" max="12" width="1.5" style="12" customWidth="1"/>
    <col min="13" max="16384" width="11.5" style="12"/>
  </cols>
  <sheetData>
    <row r="1" spans="1:14" ht="12.75" customHeight="1" x14ac:dyDescent="0.2">
      <c r="A1" s="207"/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</row>
    <row r="2" spans="1:14" ht="12.75" customHeight="1" x14ac:dyDescent="0.15">
      <c r="A2" s="207"/>
      <c r="B2" s="231"/>
      <c r="C2" s="231"/>
      <c r="D2" s="231"/>
      <c r="E2" s="231"/>
      <c r="F2" s="231"/>
      <c r="G2" s="231"/>
      <c r="H2" s="231"/>
      <c r="I2" s="232"/>
      <c r="J2" s="242" t="s">
        <v>122</v>
      </c>
      <c r="K2" s="243"/>
      <c r="L2" s="207"/>
    </row>
    <row r="3" spans="1:14" ht="12.75" customHeight="1" x14ac:dyDescent="0.2">
      <c r="A3" s="207"/>
      <c r="B3" s="231"/>
      <c r="C3" s="231"/>
      <c r="D3" s="231"/>
      <c r="E3" s="231"/>
      <c r="F3" s="231"/>
      <c r="G3" s="231"/>
      <c r="H3" s="231"/>
      <c r="I3" s="232"/>
      <c r="J3" s="50" t="s">
        <v>0</v>
      </c>
      <c r="K3" s="61">
        <f ca="1">(CAPTURA!E8)</f>
        <v>46079</v>
      </c>
      <c r="L3" s="207"/>
    </row>
    <row r="4" spans="1:14" ht="12.75" customHeight="1" x14ac:dyDescent="0.2">
      <c r="A4" s="207"/>
      <c r="B4" s="231"/>
      <c r="C4" s="231"/>
      <c r="D4" s="231"/>
      <c r="E4" s="231"/>
      <c r="F4" s="231"/>
      <c r="G4" s="231"/>
      <c r="H4" s="231"/>
      <c r="I4" s="232"/>
      <c r="J4" s="50" t="s">
        <v>120</v>
      </c>
      <c r="K4" s="62">
        <f>(CAPTURA!E9)</f>
        <v>0</v>
      </c>
      <c r="L4" s="207"/>
    </row>
    <row r="5" spans="1:14" ht="12.75" customHeight="1" x14ac:dyDescent="0.2">
      <c r="A5" s="207"/>
      <c r="B5" s="231"/>
      <c r="C5" s="231"/>
      <c r="D5" s="231"/>
      <c r="E5" s="231"/>
      <c r="F5" s="231"/>
      <c r="G5" s="231"/>
      <c r="H5" s="231"/>
      <c r="I5" s="232"/>
      <c r="J5" s="63"/>
      <c r="K5" s="64"/>
      <c r="L5" s="207"/>
    </row>
    <row r="6" spans="1:14" ht="18" customHeight="1" x14ac:dyDescent="0.2">
      <c r="A6" s="207"/>
      <c r="B6" s="207"/>
      <c r="C6" s="207"/>
      <c r="D6" s="207"/>
      <c r="E6" s="207"/>
      <c r="F6" s="207"/>
      <c r="G6" s="207"/>
      <c r="H6" s="207"/>
      <c r="I6" s="207"/>
      <c r="J6" s="207"/>
      <c r="K6" s="207"/>
      <c r="L6" s="207"/>
    </row>
    <row r="7" spans="1:14" ht="32" customHeight="1" x14ac:dyDescent="0.15">
      <c r="A7" s="207"/>
      <c r="B7" s="244" t="s">
        <v>258</v>
      </c>
      <c r="C7" s="245"/>
      <c r="D7" s="245"/>
      <c r="E7" s="245"/>
      <c r="F7" s="245"/>
      <c r="G7" s="245"/>
      <c r="H7" s="245"/>
      <c r="I7" s="245"/>
      <c r="J7" s="245"/>
      <c r="K7" s="246"/>
      <c r="L7" s="207"/>
    </row>
    <row r="8" spans="1:14" ht="5" customHeight="1" x14ac:dyDescent="0.2">
      <c r="A8" s="207"/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</row>
    <row r="9" spans="1:14" ht="19" x14ac:dyDescent="0.15">
      <c r="A9" s="207"/>
      <c r="B9" s="185" t="s">
        <v>130</v>
      </c>
      <c r="C9" s="186"/>
      <c r="D9" s="186"/>
      <c r="E9" s="186"/>
      <c r="F9" s="186"/>
      <c r="G9" s="186"/>
      <c r="H9" s="186"/>
      <c r="I9" s="186"/>
      <c r="J9" s="186"/>
      <c r="K9" s="187"/>
      <c r="L9" s="207"/>
    </row>
    <row r="10" spans="1:14" ht="15" x14ac:dyDescent="0.15">
      <c r="A10" s="207"/>
      <c r="B10" s="53" t="s">
        <v>97</v>
      </c>
      <c r="C10" s="250" t="s">
        <v>257</v>
      </c>
      <c r="D10" s="251"/>
      <c r="E10" s="251"/>
      <c r="F10" s="251"/>
      <c r="G10" s="252"/>
      <c r="H10" s="54" t="s">
        <v>21</v>
      </c>
      <c r="I10" s="188" t="str">
        <f>CAPTURA!E30</f>
        <v>81 1753 3008</v>
      </c>
      <c r="J10" s="189"/>
      <c r="K10" s="190"/>
      <c r="L10" s="207"/>
    </row>
    <row r="11" spans="1:14" ht="15" x14ac:dyDescent="0.15">
      <c r="A11" s="207"/>
      <c r="B11" s="55" t="s">
        <v>13</v>
      </c>
      <c r="C11" s="222" t="str">
        <f>CAPTURA!E23</f>
        <v xml:space="preserve">CALLE VENEDELLO </v>
      </c>
      <c r="D11" s="192"/>
      <c r="E11" s="192"/>
      <c r="F11" s="192"/>
      <c r="G11" s="223"/>
      <c r="H11" s="56" t="s">
        <v>22</v>
      </c>
      <c r="I11" s="188" t="str">
        <f>CAPTURA!E31</f>
        <v>-</v>
      </c>
      <c r="J11" s="189"/>
      <c r="K11" s="190"/>
      <c r="L11" s="207"/>
    </row>
    <row r="12" spans="1:14" ht="15" x14ac:dyDescent="0.15">
      <c r="A12" s="207"/>
      <c r="B12" s="55" t="s">
        <v>158</v>
      </c>
      <c r="C12" s="222">
        <f>CAPTURA!E24</f>
        <v>1612</v>
      </c>
      <c r="D12" s="192"/>
      <c r="E12" s="192"/>
      <c r="F12" s="192"/>
      <c r="G12" s="223"/>
      <c r="H12" s="56" t="s">
        <v>23</v>
      </c>
      <c r="I12" s="191" t="str">
        <f>CAPTURA!E32</f>
        <v>amira_torres@hotmail.com</v>
      </c>
      <c r="J12" s="192"/>
      <c r="K12" s="193"/>
      <c r="L12" s="207"/>
    </row>
    <row r="13" spans="1:14" ht="15" x14ac:dyDescent="0.15">
      <c r="A13" s="207"/>
      <c r="B13" s="55" t="s">
        <v>15</v>
      </c>
      <c r="C13" s="222" t="str">
        <f>CAPTURA!E25</f>
        <v>VILLAS CANTERIAS</v>
      </c>
      <c r="D13" s="192"/>
      <c r="E13" s="192"/>
      <c r="F13" s="192"/>
      <c r="G13" s="223"/>
      <c r="H13" s="56"/>
      <c r="I13" s="188"/>
      <c r="J13" s="189"/>
      <c r="K13" s="190"/>
      <c r="L13" s="207"/>
    </row>
    <row r="14" spans="1:14" ht="15" x14ac:dyDescent="0.15">
      <c r="A14" s="207"/>
      <c r="B14" s="55" t="s">
        <v>16</v>
      </c>
      <c r="C14" s="222" t="str">
        <f>CAPTURA!E26</f>
        <v>MONTERREY</v>
      </c>
      <c r="D14" s="192"/>
      <c r="E14" s="192"/>
      <c r="F14" s="192"/>
      <c r="G14" s="223"/>
      <c r="H14" s="56" t="s">
        <v>146</v>
      </c>
      <c r="I14" s="194" t="str">
        <f>CAPTURA!J32</f>
        <v>14 ENERO 2026</v>
      </c>
      <c r="J14" s="195"/>
      <c r="K14" s="196"/>
      <c r="L14" s="207"/>
      <c r="N14" s="40"/>
    </row>
    <row r="15" spans="1:14" ht="15" x14ac:dyDescent="0.15">
      <c r="A15" s="207"/>
      <c r="B15" s="59" t="s">
        <v>17</v>
      </c>
      <c r="C15" s="224" t="str">
        <f>CAPTURA!E27</f>
        <v>NUEVO LEÓN</v>
      </c>
      <c r="D15" s="225"/>
      <c r="E15" s="225"/>
      <c r="F15" s="225"/>
      <c r="G15" s="226"/>
      <c r="H15" s="60"/>
      <c r="I15" s="197"/>
      <c r="J15" s="198"/>
      <c r="K15" s="199"/>
      <c r="L15" s="207"/>
    </row>
    <row r="16" spans="1:14" ht="5" customHeight="1" x14ac:dyDescent="0.2">
      <c r="A16" s="207"/>
      <c r="B16" s="207"/>
      <c r="C16" s="207"/>
      <c r="D16" s="207"/>
      <c r="E16" s="207"/>
      <c r="F16" s="207"/>
      <c r="G16" s="207"/>
      <c r="H16" s="207"/>
      <c r="I16" s="207"/>
      <c r="J16" s="207"/>
      <c r="K16" s="207"/>
      <c r="L16" s="207"/>
    </row>
    <row r="17" spans="1:12" ht="19" x14ac:dyDescent="0.15">
      <c r="A17" s="207"/>
      <c r="B17" s="185" t="s">
        <v>131</v>
      </c>
      <c r="C17" s="186"/>
      <c r="D17" s="186"/>
      <c r="E17" s="186"/>
      <c r="F17" s="186"/>
      <c r="G17" s="186"/>
      <c r="H17" s="186"/>
      <c r="I17" s="186"/>
      <c r="J17" s="186"/>
      <c r="K17" s="187"/>
      <c r="L17" s="207"/>
    </row>
    <row r="18" spans="1:12" ht="15" x14ac:dyDescent="0.15">
      <c r="A18" s="207"/>
      <c r="B18" s="53" t="s">
        <v>99</v>
      </c>
      <c r="C18" s="250" t="str">
        <f>(CAPTURA!I17)</f>
        <v>SANTTE RESIDENCIAL</v>
      </c>
      <c r="D18" s="251"/>
      <c r="E18" s="251"/>
      <c r="F18" s="251"/>
      <c r="G18" s="252"/>
      <c r="H18" s="54" t="s">
        <v>100</v>
      </c>
      <c r="I18" s="233">
        <f>CAPTURA!I24</f>
        <v>166.929</v>
      </c>
      <c r="J18" s="234"/>
      <c r="K18" s="235"/>
      <c r="L18" s="207"/>
    </row>
    <row r="19" spans="1:12" ht="15" x14ac:dyDescent="0.15">
      <c r="A19" s="207"/>
      <c r="B19" s="55" t="s">
        <v>75</v>
      </c>
      <c r="C19" s="222">
        <f>CAPTURA!I19</f>
        <v>45</v>
      </c>
      <c r="D19" s="192"/>
      <c r="E19" s="192"/>
      <c r="F19" s="192"/>
      <c r="G19" s="223"/>
      <c r="H19" s="56" t="s">
        <v>101</v>
      </c>
      <c r="I19" s="236">
        <f>CAPTURA!I25</f>
        <v>12580.19876714052</v>
      </c>
      <c r="J19" s="237"/>
      <c r="K19" s="238"/>
      <c r="L19" s="207"/>
    </row>
    <row r="20" spans="1:12" ht="15" x14ac:dyDescent="0.15">
      <c r="A20" s="207"/>
      <c r="B20" s="55" t="s">
        <v>76</v>
      </c>
      <c r="C20" s="222">
        <f>CAPTURA!I20</f>
        <v>16</v>
      </c>
      <c r="D20" s="192"/>
      <c r="E20" s="192"/>
      <c r="F20" s="192"/>
      <c r="G20" s="223"/>
      <c r="H20" s="56" t="s">
        <v>80</v>
      </c>
      <c r="I20" s="236">
        <f>CAPTURA!I26</f>
        <v>2100000</v>
      </c>
      <c r="J20" s="237"/>
      <c r="K20" s="238"/>
      <c r="L20" s="207"/>
    </row>
    <row r="21" spans="1:12" ht="15" x14ac:dyDescent="0.15">
      <c r="A21" s="207"/>
      <c r="B21" s="55" t="s">
        <v>98</v>
      </c>
      <c r="C21" s="222">
        <f>CAPTURA!I21</f>
        <v>114</v>
      </c>
      <c r="D21" s="192"/>
      <c r="E21" s="192"/>
      <c r="F21" s="192"/>
      <c r="G21" s="223"/>
      <c r="H21" s="56" t="s">
        <v>74</v>
      </c>
      <c r="I21" s="239"/>
      <c r="J21" s="240"/>
      <c r="K21" s="241"/>
      <c r="L21" s="207"/>
    </row>
    <row r="22" spans="1:12" ht="15" x14ac:dyDescent="0.15">
      <c r="A22" s="207"/>
      <c r="B22" s="59" t="s">
        <v>79</v>
      </c>
      <c r="C22" s="224" t="str">
        <f>CAPTURA!I22</f>
        <v>AZALEA</v>
      </c>
      <c r="D22" s="225"/>
      <c r="E22" s="225"/>
      <c r="F22" s="225"/>
      <c r="G22" s="226"/>
      <c r="H22" s="60"/>
      <c r="I22" s="247"/>
      <c r="J22" s="248"/>
      <c r="K22" s="249"/>
      <c r="L22" s="207"/>
    </row>
    <row r="23" spans="1:12" ht="5" customHeight="1" x14ac:dyDescent="0.2">
      <c r="A23" s="207"/>
      <c r="B23" s="207"/>
      <c r="C23" s="207"/>
      <c r="D23" s="207"/>
      <c r="E23" s="207"/>
      <c r="F23" s="207"/>
      <c r="G23" s="207"/>
      <c r="H23" s="207"/>
      <c r="I23" s="207"/>
      <c r="J23" s="207"/>
      <c r="K23" s="207"/>
      <c r="L23" s="207"/>
    </row>
    <row r="24" spans="1:12" ht="19" x14ac:dyDescent="0.15">
      <c r="A24" s="207"/>
      <c r="B24" s="214" t="s">
        <v>132</v>
      </c>
      <c r="C24" s="215"/>
      <c r="D24" s="215"/>
      <c r="E24" s="215"/>
      <c r="F24" s="215"/>
      <c r="G24" s="215"/>
      <c r="H24" s="215"/>
      <c r="I24" s="215"/>
      <c r="J24" s="215"/>
      <c r="K24" s="216"/>
      <c r="L24" s="207"/>
    </row>
    <row r="25" spans="1:12" ht="15" x14ac:dyDescent="0.15">
      <c r="A25" s="207"/>
      <c r="B25" s="183" t="s">
        <v>156</v>
      </c>
      <c r="C25" s="263"/>
      <c r="D25" s="264"/>
      <c r="E25" s="257" t="str">
        <f>(CAPTURA!I28)</f>
        <v>CREDITO DIRECTO</v>
      </c>
      <c r="F25" s="258"/>
      <c r="G25" s="258"/>
      <c r="H25" s="258"/>
      <c r="I25" s="258"/>
      <c r="J25" s="258"/>
      <c r="K25" s="259"/>
      <c r="L25" s="207"/>
    </row>
    <row r="26" spans="1:12" ht="15" x14ac:dyDescent="0.2">
      <c r="A26" s="207"/>
      <c r="B26" s="265" t="s">
        <v>157</v>
      </c>
      <c r="C26" s="266"/>
      <c r="D26" s="267"/>
      <c r="E26" s="260"/>
      <c r="F26" s="261"/>
      <c r="G26" s="261"/>
      <c r="H26" s="261"/>
      <c r="I26" s="261"/>
      <c r="J26" s="261"/>
      <c r="K26" s="262"/>
      <c r="L26" s="207"/>
    </row>
    <row r="27" spans="1:12" ht="15" x14ac:dyDescent="0.2">
      <c r="A27" s="207"/>
      <c r="B27" s="200"/>
      <c r="C27" s="201"/>
      <c r="D27" s="201"/>
      <c r="E27" s="201"/>
      <c r="F27" s="201"/>
      <c r="G27" s="201"/>
      <c r="H27" s="201"/>
      <c r="I27" s="201"/>
      <c r="J27" s="201"/>
      <c r="K27" s="202"/>
      <c r="L27" s="207"/>
    </row>
    <row r="28" spans="1:12" ht="15" x14ac:dyDescent="0.15">
      <c r="A28" s="207"/>
      <c r="B28" s="111" t="s">
        <v>102</v>
      </c>
      <c r="C28" s="212" t="s">
        <v>83</v>
      </c>
      <c r="D28" s="213"/>
      <c r="E28" s="112" t="s">
        <v>84</v>
      </c>
      <c r="F28" s="212" t="s">
        <v>86</v>
      </c>
      <c r="G28" s="213"/>
      <c r="H28" s="112" t="s">
        <v>87</v>
      </c>
      <c r="I28" s="212" t="s">
        <v>140</v>
      </c>
      <c r="J28" s="213"/>
      <c r="K28" s="113" t="s">
        <v>139</v>
      </c>
      <c r="L28" s="207"/>
    </row>
    <row r="29" spans="1:12" ht="15" x14ac:dyDescent="0.2">
      <c r="A29" s="207"/>
      <c r="B29" s="50"/>
      <c r="C29" s="203"/>
      <c r="D29" s="204"/>
      <c r="E29" s="91"/>
      <c r="F29" s="203"/>
      <c r="G29" s="204"/>
      <c r="H29" s="91"/>
      <c r="I29" s="203"/>
      <c r="J29" s="204"/>
      <c r="K29" s="92"/>
      <c r="L29" s="207"/>
    </row>
    <row r="30" spans="1:12" ht="15" x14ac:dyDescent="0.2">
      <c r="A30" s="207"/>
      <c r="B30" s="93">
        <f>(CAPTURA!H32)</f>
        <v>1</v>
      </c>
      <c r="C30" s="210" t="str">
        <f>CAPTURA!I32</f>
        <v>SEPARACION</v>
      </c>
      <c r="D30" s="211"/>
      <c r="E30" s="94" t="str">
        <f>(CAPTURA!J32)</f>
        <v>14 ENERO 2026</v>
      </c>
      <c r="F30" s="205">
        <f>(CAPTURA!K32)</f>
        <v>2100000</v>
      </c>
      <c r="G30" s="206">
        <f>(CAPTURA!K32)</f>
        <v>2100000</v>
      </c>
      <c r="H30" s="95">
        <f>(CAPTURA!L32)</f>
        <v>0</v>
      </c>
      <c r="I30" s="208">
        <f>(CAPTURA!M32)</f>
        <v>50000</v>
      </c>
      <c r="J30" s="209">
        <f>(CAPTURA!M32)</f>
        <v>50000</v>
      </c>
      <c r="K30" s="96">
        <f>(CAPTURA!N32)</f>
        <v>50000</v>
      </c>
      <c r="L30" s="207"/>
    </row>
    <row r="31" spans="1:12" ht="15" x14ac:dyDescent="0.2">
      <c r="A31" s="207"/>
      <c r="B31" s="93">
        <f>(CAPTURA!H33)</f>
        <v>2</v>
      </c>
      <c r="C31" s="255" t="str">
        <f>(CAPTURA!I33)</f>
        <v>ENGANCHE</v>
      </c>
      <c r="D31" s="211"/>
      <c r="E31" s="94" t="str">
        <f>(CAPTURA!J33)</f>
        <v>26 ENERO 2026</v>
      </c>
      <c r="F31" s="205">
        <f>(CAPTURA!K33)</f>
        <v>2050000</v>
      </c>
      <c r="G31" s="206">
        <f>(CAPTURA!K33)</f>
        <v>2050000</v>
      </c>
      <c r="H31" s="95">
        <f>(CAPTURA!L33)</f>
        <v>0</v>
      </c>
      <c r="I31" s="208">
        <f>(CAPTURA!M33)</f>
        <v>630000</v>
      </c>
      <c r="J31" s="209">
        <f>(CAPTURA!M33)</f>
        <v>630000</v>
      </c>
      <c r="K31" s="96">
        <f>(CAPTURA!N33)</f>
        <v>630000</v>
      </c>
      <c r="L31" s="207"/>
    </row>
    <row r="32" spans="1:12" ht="15" x14ac:dyDescent="0.2">
      <c r="A32" s="207"/>
      <c r="B32" s="93">
        <f>(CAPTURA!H34)</f>
        <v>3</v>
      </c>
      <c r="C32" s="255" t="str">
        <f>(CAPTURA!I34)</f>
        <v>ESCRITURACIÓN</v>
      </c>
      <c r="D32" s="211"/>
      <c r="E32" s="94" t="str">
        <f>(CAPTURA!J34)</f>
        <v>2 MARZO 2026</v>
      </c>
      <c r="F32" s="205">
        <f>(CAPTURA!K34)</f>
        <v>1420000</v>
      </c>
      <c r="G32" s="206">
        <f>(CAPTURA!K34)</f>
        <v>1420000</v>
      </c>
      <c r="H32" s="95">
        <f>(CAPTURA!L34)</f>
        <v>0</v>
      </c>
      <c r="I32" s="208">
        <f>(CAPTURA!M34)</f>
        <v>1420000</v>
      </c>
      <c r="J32" s="209">
        <f>(CAPTURA!M34)</f>
        <v>1420000</v>
      </c>
      <c r="K32" s="96">
        <f>(CAPTURA!N34)</f>
        <v>1420000</v>
      </c>
      <c r="L32" s="207"/>
    </row>
    <row r="33" spans="1:12" ht="15" x14ac:dyDescent="0.2">
      <c r="A33" s="207"/>
      <c r="B33" s="93">
        <f>(CAPTURA!H35)</f>
        <v>0</v>
      </c>
      <c r="C33" s="255">
        <f>(CAPTURA!I35)</f>
        <v>0</v>
      </c>
      <c r="D33" s="211"/>
      <c r="E33" s="94">
        <f>(CAPTURA!J35)</f>
        <v>0</v>
      </c>
      <c r="F33" s="205">
        <f>(CAPTURA!K35)</f>
        <v>0</v>
      </c>
      <c r="G33" s="206">
        <f>(CAPTURA!K35)</f>
        <v>0</v>
      </c>
      <c r="H33" s="95">
        <f>(CAPTURA!L35)</f>
        <v>0</v>
      </c>
      <c r="I33" s="208">
        <f>(CAPTURA!M35)</f>
        <v>0</v>
      </c>
      <c r="J33" s="209">
        <f>(CAPTURA!M35)</f>
        <v>0</v>
      </c>
      <c r="K33" s="96">
        <f>(CAPTURA!N35)</f>
        <v>0</v>
      </c>
      <c r="L33" s="207"/>
    </row>
    <row r="34" spans="1:12" ht="15" x14ac:dyDescent="0.2">
      <c r="A34" s="207"/>
      <c r="B34" s="93">
        <f>(CAPTURA!H36)</f>
        <v>0</v>
      </c>
      <c r="C34" s="255">
        <f>(CAPTURA!I36)</f>
        <v>0</v>
      </c>
      <c r="D34" s="211"/>
      <c r="E34" s="94">
        <f>(CAPTURA!J36)</f>
        <v>0</v>
      </c>
      <c r="F34" s="205">
        <f>(CAPTURA!K36)</f>
        <v>0</v>
      </c>
      <c r="G34" s="206">
        <f>(CAPTURA!K36)</f>
        <v>0</v>
      </c>
      <c r="H34" s="95">
        <f>(CAPTURA!L36)</f>
        <v>0</v>
      </c>
      <c r="I34" s="208">
        <f>(CAPTURA!M36)</f>
        <v>0</v>
      </c>
      <c r="J34" s="209">
        <f>(CAPTURA!M36)</f>
        <v>0</v>
      </c>
      <c r="K34" s="96">
        <f>(CAPTURA!N36)</f>
        <v>0</v>
      </c>
      <c r="L34" s="207"/>
    </row>
    <row r="35" spans="1:12" ht="15" x14ac:dyDescent="0.2">
      <c r="A35" s="207"/>
      <c r="B35" s="93">
        <f>(CAPTURA!H37)</f>
        <v>0</v>
      </c>
      <c r="C35" s="255">
        <f>(CAPTURA!I37)</f>
        <v>0</v>
      </c>
      <c r="D35" s="211"/>
      <c r="E35" s="94">
        <f>(CAPTURA!J37)</f>
        <v>0</v>
      </c>
      <c r="F35" s="205">
        <f>(CAPTURA!K37)</f>
        <v>0</v>
      </c>
      <c r="G35" s="206">
        <f>(CAPTURA!K37)</f>
        <v>0</v>
      </c>
      <c r="H35" s="95">
        <f>(CAPTURA!L37)</f>
        <v>0</v>
      </c>
      <c r="I35" s="208">
        <f>(CAPTURA!M37)</f>
        <v>0</v>
      </c>
      <c r="J35" s="209">
        <f>(CAPTURA!M37)</f>
        <v>0</v>
      </c>
      <c r="K35" s="96">
        <f>(CAPTURA!N37)</f>
        <v>0</v>
      </c>
      <c r="L35" s="207"/>
    </row>
    <row r="36" spans="1:12" ht="15" x14ac:dyDescent="0.2">
      <c r="A36" s="207"/>
      <c r="B36" s="93">
        <f>(CAPTURA!H38)</f>
        <v>0</v>
      </c>
      <c r="C36" s="255">
        <f>(CAPTURA!I38)</f>
        <v>0</v>
      </c>
      <c r="D36" s="211"/>
      <c r="E36" s="94">
        <f>(CAPTURA!J38)</f>
        <v>0</v>
      </c>
      <c r="F36" s="205">
        <f>(CAPTURA!K38)</f>
        <v>0</v>
      </c>
      <c r="G36" s="206">
        <f>(CAPTURA!K38)</f>
        <v>0</v>
      </c>
      <c r="H36" s="95">
        <f>(CAPTURA!L38)</f>
        <v>0</v>
      </c>
      <c r="I36" s="208">
        <f>(CAPTURA!M38)</f>
        <v>0</v>
      </c>
      <c r="J36" s="209">
        <f>(CAPTURA!M38)</f>
        <v>0</v>
      </c>
      <c r="K36" s="96">
        <f>(CAPTURA!N38)</f>
        <v>0</v>
      </c>
      <c r="L36" s="207"/>
    </row>
    <row r="37" spans="1:12" ht="15" x14ac:dyDescent="0.2">
      <c r="A37" s="207"/>
      <c r="B37" s="93">
        <f>(CAPTURA!H39)</f>
        <v>0</v>
      </c>
      <c r="C37" s="255">
        <f>(CAPTURA!I39)</f>
        <v>0</v>
      </c>
      <c r="D37" s="211"/>
      <c r="E37" s="94">
        <f>(CAPTURA!J39)</f>
        <v>0</v>
      </c>
      <c r="F37" s="205">
        <f>(CAPTURA!K39)</f>
        <v>0</v>
      </c>
      <c r="G37" s="206">
        <f>(CAPTURA!K39)</f>
        <v>0</v>
      </c>
      <c r="H37" s="95">
        <f>(CAPTURA!L39)</f>
        <v>0</v>
      </c>
      <c r="I37" s="208">
        <f>(CAPTURA!M39)</f>
        <v>0</v>
      </c>
      <c r="J37" s="209">
        <f>(CAPTURA!M39)</f>
        <v>0</v>
      </c>
      <c r="K37" s="96">
        <f>(CAPTURA!N39)</f>
        <v>0</v>
      </c>
      <c r="L37" s="207"/>
    </row>
    <row r="38" spans="1:12" ht="15" x14ac:dyDescent="0.2">
      <c r="A38" s="207"/>
      <c r="B38" s="93">
        <f>(CAPTURA!H40)</f>
        <v>0</v>
      </c>
      <c r="C38" s="255">
        <f>(CAPTURA!I40)</f>
        <v>0</v>
      </c>
      <c r="D38" s="211"/>
      <c r="E38" s="94">
        <f>(CAPTURA!J40)</f>
        <v>0</v>
      </c>
      <c r="F38" s="205">
        <f>(CAPTURA!K40)</f>
        <v>0</v>
      </c>
      <c r="G38" s="206">
        <f>(CAPTURA!K40)</f>
        <v>0</v>
      </c>
      <c r="H38" s="95">
        <f>(CAPTURA!L40)</f>
        <v>0</v>
      </c>
      <c r="I38" s="208">
        <f>(CAPTURA!M40)</f>
        <v>0</v>
      </c>
      <c r="J38" s="209">
        <f>(CAPTURA!M40)</f>
        <v>0</v>
      </c>
      <c r="K38" s="96">
        <f>(CAPTURA!N40)</f>
        <v>0</v>
      </c>
      <c r="L38" s="207"/>
    </row>
    <row r="39" spans="1:12" ht="15" x14ac:dyDescent="0.2">
      <c r="A39" s="207"/>
      <c r="B39" s="93">
        <f>(CAPTURA!H41)</f>
        <v>0</v>
      </c>
      <c r="C39" s="255">
        <f>(CAPTURA!I41)</f>
        <v>0</v>
      </c>
      <c r="D39" s="211"/>
      <c r="E39" s="94">
        <f>(CAPTURA!J41)</f>
        <v>0</v>
      </c>
      <c r="F39" s="205">
        <f>(CAPTURA!K41)</f>
        <v>0</v>
      </c>
      <c r="G39" s="206">
        <f>(CAPTURA!K41)</f>
        <v>0</v>
      </c>
      <c r="H39" s="95">
        <f>(CAPTURA!L41)</f>
        <v>0</v>
      </c>
      <c r="I39" s="208">
        <f>(CAPTURA!M41)</f>
        <v>0</v>
      </c>
      <c r="J39" s="209">
        <f>(CAPTURA!M41)</f>
        <v>0</v>
      </c>
      <c r="K39" s="96">
        <f>(CAPTURA!N41)</f>
        <v>0</v>
      </c>
      <c r="L39" s="207"/>
    </row>
    <row r="40" spans="1:12" ht="15" x14ac:dyDescent="0.2">
      <c r="A40" s="207"/>
      <c r="B40" s="93">
        <f>(CAPTURA!H42)</f>
        <v>0</v>
      </c>
      <c r="C40" s="255">
        <f>(CAPTURA!I42)</f>
        <v>0</v>
      </c>
      <c r="D40" s="211"/>
      <c r="E40" s="94">
        <f>(CAPTURA!J42)</f>
        <v>0</v>
      </c>
      <c r="F40" s="205">
        <f>(CAPTURA!K42)</f>
        <v>0</v>
      </c>
      <c r="G40" s="206">
        <f>(CAPTURA!K42)</f>
        <v>0</v>
      </c>
      <c r="H40" s="95">
        <f>(CAPTURA!L42)</f>
        <v>0</v>
      </c>
      <c r="I40" s="208">
        <f>(CAPTURA!M42)</f>
        <v>0</v>
      </c>
      <c r="J40" s="209">
        <f>(CAPTURA!M42)</f>
        <v>0</v>
      </c>
      <c r="K40" s="96">
        <f>(CAPTURA!N42)</f>
        <v>0</v>
      </c>
      <c r="L40" s="207"/>
    </row>
    <row r="41" spans="1:12" ht="15" x14ac:dyDescent="0.2">
      <c r="A41" s="207"/>
      <c r="B41" s="93">
        <f>(CAPTURA!H44)</f>
        <v>0</v>
      </c>
      <c r="C41" s="210">
        <f>(CAPTURA!I44)</f>
        <v>0</v>
      </c>
      <c r="D41" s="211"/>
      <c r="E41" s="94">
        <f>(CAPTURA!J44)</f>
        <v>0</v>
      </c>
      <c r="F41" s="205">
        <f>(CAPTURA!K44)</f>
        <v>0</v>
      </c>
      <c r="G41" s="206">
        <f>(CAPTURA!K43)</f>
        <v>0</v>
      </c>
      <c r="H41" s="95">
        <f>(CAPTURA!L44)</f>
        <v>0</v>
      </c>
      <c r="I41" s="208">
        <f>(CAPTURA!M44)</f>
        <v>0</v>
      </c>
      <c r="J41" s="209">
        <f>(CAPTURA!M43)</f>
        <v>0</v>
      </c>
      <c r="K41" s="96">
        <f>(CAPTURA!N44)</f>
        <v>0</v>
      </c>
      <c r="L41" s="207"/>
    </row>
    <row r="42" spans="1:12" ht="15" x14ac:dyDescent="0.2">
      <c r="A42" s="207"/>
      <c r="B42" s="93">
        <f>(CAPTURA!H45)</f>
        <v>0</v>
      </c>
      <c r="C42" s="210">
        <f>(CAPTURA!I45)</f>
        <v>0</v>
      </c>
      <c r="D42" s="211"/>
      <c r="E42" s="94">
        <f>(CAPTURA!J45)</f>
        <v>0</v>
      </c>
      <c r="F42" s="205">
        <f>(CAPTURA!K45)</f>
        <v>0</v>
      </c>
      <c r="G42" s="206">
        <f>(CAPTURA!K44)</f>
        <v>0</v>
      </c>
      <c r="H42" s="95">
        <f>(CAPTURA!L45)</f>
        <v>0</v>
      </c>
      <c r="I42" s="208">
        <f>(CAPTURA!M45)</f>
        <v>0</v>
      </c>
      <c r="J42" s="209">
        <f>(CAPTURA!M44)</f>
        <v>0</v>
      </c>
      <c r="K42" s="96">
        <f>(CAPTURA!N45)</f>
        <v>0</v>
      </c>
      <c r="L42" s="207"/>
    </row>
    <row r="43" spans="1:12" ht="15" x14ac:dyDescent="0.2">
      <c r="A43" s="207"/>
      <c r="B43" s="93">
        <f>(CAPTURA!H46)</f>
        <v>0</v>
      </c>
      <c r="C43" s="210">
        <f>(CAPTURA!I46)</f>
        <v>0</v>
      </c>
      <c r="D43" s="211"/>
      <c r="E43" s="94">
        <f>(CAPTURA!J46)</f>
        <v>0</v>
      </c>
      <c r="F43" s="205">
        <f>(CAPTURA!K46)</f>
        <v>0</v>
      </c>
      <c r="G43" s="206">
        <f>(CAPTURA!K45)</f>
        <v>0</v>
      </c>
      <c r="H43" s="95">
        <f>(CAPTURA!L46)</f>
        <v>0</v>
      </c>
      <c r="I43" s="208">
        <f>(CAPTURA!M46)</f>
        <v>0</v>
      </c>
      <c r="J43" s="209">
        <f>(CAPTURA!M45)</f>
        <v>0</v>
      </c>
      <c r="K43" s="96">
        <f>(CAPTURA!N46)</f>
        <v>0</v>
      </c>
      <c r="L43" s="207"/>
    </row>
    <row r="44" spans="1:12" ht="15" x14ac:dyDescent="0.2">
      <c r="A44" s="207"/>
      <c r="B44" s="93">
        <f>(CAPTURA!H47)</f>
        <v>0</v>
      </c>
      <c r="C44" s="210">
        <f>(CAPTURA!I47)</f>
        <v>0</v>
      </c>
      <c r="D44" s="211"/>
      <c r="E44" s="94">
        <f>(CAPTURA!J47)</f>
        <v>0</v>
      </c>
      <c r="F44" s="205">
        <f>(CAPTURA!K47)</f>
        <v>0</v>
      </c>
      <c r="G44" s="206">
        <f>(CAPTURA!K46)</f>
        <v>0</v>
      </c>
      <c r="H44" s="95">
        <f>(CAPTURA!L47)</f>
        <v>0</v>
      </c>
      <c r="I44" s="208">
        <f>(CAPTURA!M47)</f>
        <v>0</v>
      </c>
      <c r="J44" s="209">
        <f>(CAPTURA!M46)</f>
        <v>0</v>
      </c>
      <c r="K44" s="96">
        <f>(CAPTURA!N47)</f>
        <v>0</v>
      </c>
      <c r="L44" s="207"/>
    </row>
    <row r="45" spans="1:12" ht="16" thickBot="1" x14ac:dyDescent="0.25">
      <c r="A45" s="207"/>
      <c r="B45" s="50"/>
      <c r="C45" s="203"/>
      <c r="D45" s="204"/>
      <c r="E45" s="91"/>
      <c r="F45" s="273"/>
      <c r="G45" s="274"/>
      <c r="H45" s="97"/>
      <c r="I45" s="219"/>
      <c r="J45" s="220"/>
      <c r="K45" s="98"/>
      <c r="L45" s="207"/>
    </row>
    <row r="46" spans="1:12" customFormat="1" ht="16" thickTop="1" x14ac:dyDescent="0.2">
      <c r="A46" s="207"/>
      <c r="B46" s="50"/>
      <c r="C46" s="253" t="str">
        <f>(CAPTURA!I48)</f>
        <v>VALOR TOTAL:</v>
      </c>
      <c r="D46" s="254"/>
      <c r="E46" s="48"/>
      <c r="F46" s="275">
        <f>(CAPTURA!K48)</f>
        <v>0</v>
      </c>
      <c r="G46" s="276">
        <f>(CAPTURA!K48)</f>
        <v>0</v>
      </c>
      <c r="H46" s="49">
        <f>(CAPTURA!L48)</f>
        <v>0</v>
      </c>
      <c r="I46" s="229">
        <f>(CAPTURA!M48)</f>
        <v>2100000</v>
      </c>
      <c r="J46" s="230">
        <f>(CAPTURA!M48)</f>
        <v>2100000</v>
      </c>
      <c r="K46" s="68">
        <f>(CAPTURA!N48)</f>
        <v>2100000</v>
      </c>
      <c r="L46" s="207"/>
    </row>
    <row r="47" spans="1:12" ht="15" x14ac:dyDescent="0.2">
      <c r="A47" s="207"/>
      <c r="B47" s="63"/>
      <c r="C47" s="227"/>
      <c r="D47" s="228"/>
      <c r="E47" s="99"/>
      <c r="F47" s="227"/>
      <c r="G47" s="228"/>
      <c r="H47" s="99"/>
      <c r="I47" s="227"/>
      <c r="J47" s="228">
        <f>(CAPTURA!M49)</f>
        <v>0</v>
      </c>
      <c r="K47" s="64"/>
      <c r="L47" s="207"/>
    </row>
    <row r="48" spans="1:12" ht="5.25" customHeight="1" x14ac:dyDescent="0.2">
      <c r="A48" s="20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207"/>
    </row>
    <row r="49" spans="1:12" ht="15" customHeight="1" x14ac:dyDescent="0.15">
      <c r="A49" s="207"/>
      <c r="B49" s="271" t="s">
        <v>151</v>
      </c>
      <c r="C49" s="272"/>
      <c r="D49" s="218"/>
      <c r="E49" s="268" t="s">
        <v>154</v>
      </c>
      <c r="F49" s="269"/>
      <c r="G49" s="269"/>
      <c r="H49" s="269"/>
      <c r="I49" s="269"/>
      <c r="J49" s="269"/>
      <c r="K49" s="270"/>
      <c r="L49" s="207"/>
    </row>
    <row r="50" spans="1:12" ht="15" customHeight="1" x14ac:dyDescent="0.2">
      <c r="A50" s="207"/>
      <c r="B50" s="183" t="s">
        <v>147</v>
      </c>
      <c r="C50" s="184"/>
      <c r="D50" s="218"/>
      <c r="E50" s="277"/>
      <c r="F50" s="278"/>
      <c r="G50" s="278"/>
      <c r="H50" s="278"/>
      <c r="I50" s="278"/>
      <c r="J50" s="278"/>
      <c r="K50" s="279"/>
      <c r="L50" s="207"/>
    </row>
    <row r="51" spans="1:12" ht="15" x14ac:dyDescent="0.2">
      <c r="A51" s="207"/>
      <c r="B51" s="50" t="s">
        <v>148</v>
      </c>
      <c r="C51" s="107" t="s">
        <v>160</v>
      </c>
      <c r="D51" s="218"/>
      <c r="E51" s="280"/>
      <c r="F51" s="218"/>
      <c r="G51" s="218"/>
      <c r="H51" s="218"/>
      <c r="I51" s="218"/>
      <c r="J51" s="218"/>
      <c r="K51" s="281"/>
      <c r="L51" s="207"/>
    </row>
    <row r="52" spans="1:12" ht="15" x14ac:dyDescent="0.2">
      <c r="A52" s="207"/>
      <c r="B52" s="50" t="s">
        <v>149</v>
      </c>
      <c r="C52" s="107">
        <v>112115234</v>
      </c>
      <c r="D52" s="218"/>
      <c r="E52" s="280"/>
      <c r="F52" s="218"/>
      <c r="G52" s="218"/>
      <c r="H52" s="218"/>
      <c r="I52" s="218"/>
      <c r="J52" s="218"/>
      <c r="K52" s="281"/>
      <c r="L52" s="207"/>
    </row>
    <row r="53" spans="1:12" ht="15" x14ac:dyDescent="0.2">
      <c r="A53" s="207"/>
      <c r="B53" s="63" t="s">
        <v>150</v>
      </c>
      <c r="C53" s="120" t="s">
        <v>161</v>
      </c>
      <c r="D53" s="218"/>
      <c r="E53" s="282"/>
      <c r="F53" s="283"/>
      <c r="G53" s="283"/>
      <c r="H53" s="283"/>
      <c r="I53" s="283"/>
      <c r="J53" s="283"/>
      <c r="K53" s="284"/>
      <c r="L53" s="207"/>
    </row>
    <row r="54" spans="1:12" ht="14" x14ac:dyDescent="0.2">
      <c r="A54" s="20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207"/>
    </row>
    <row r="55" spans="1:12" ht="12.75" customHeight="1" x14ac:dyDescent="0.15">
      <c r="A55" s="207"/>
      <c r="B55" s="476" t="s">
        <v>259</v>
      </c>
      <c r="C55" s="476"/>
      <c r="D55" s="476"/>
      <c r="E55" s="476"/>
      <c r="F55" s="476"/>
      <c r="G55" s="476"/>
      <c r="H55" s="476"/>
      <c r="I55" s="476"/>
      <c r="J55" s="476"/>
      <c r="K55" s="476"/>
      <c r="L55" s="207"/>
    </row>
    <row r="56" spans="1:12" ht="12.75" customHeight="1" x14ac:dyDescent="0.15">
      <c r="A56" s="207"/>
      <c r="B56" s="476"/>
      <c r="C56" s="476"/>
      <c r="D56" s="476"/>
      <c r="E56" s="476"/>
      <c r="F56" s="476"/>
      <c r="G56" s="476"/>
      <c r="H56" s="476"/>
      <c r="I56" s="476"/>
      <c r="J56" s="476"/>
      <c r="K56" s="476"/>
      <c r="L56" s="207"/>
    </row>
    <row r="57" spans="1:12" ht="12.75" customHeight="1" x14ac:dyDescent="0.15">
      <c r="A57" s="207"/>
      <c r="B57" s="476"/>
      <c r="C57" s="476"/>
      <c r="D57" s="476"/>
      <c r="E57" s="476"/>
      <c r="F57" s="476"/>
      <c r="G57" s="476"/>
      <c r="H57" s="476"/>
      <c r="I57" s="476"/>
      <c r="J57" s="476"/>
      <c r="K57" s="476"/>
      <c r="L57" s="207"/>
    </row>
    <row r="58" spans="1:12" ht="12.75" customHeight="1" x14ac:dyDescent="0.15">
      <c r="A58" s="207"/>
      <c r="B58" s="476"/>
      <c r="C58" s="476"/>
      <c r="D58" s="476"/>
      <c r="E58" s="476"/>
      <c r="F58" s="476"/>
      <c r="G58" s="476"/>
      <c r="H58" s="476"/>
      <c r="I58" s="476"/>
      <c r="J58" s="476"/>
      <c r="K58" s="476"/>
      <c r="L58" s="207"/>
    </row>
    <row r="59" spans="1:12" ht="12.75" customHeight="1" x14ac:dyDescent="0.15">
      <c r="A59" s="207"/>
      <c r="B59" s="476"/>
      <c r="C59" s="476"/>
      <c r="D59" s="476"/>
      <c r="E59" s="476"/>
      <c r="F59" s="476"/>
      <c r="G59" s="476"/>
      <c r="H59" s="476"/>
      <c r="I59" s="476"/>
      <c r="J59" s="476"/>
      <c r="K59" s="476"/>
      <c r="L59" s="207"/>
    </row>
    <row r="60" spans="1:12" ht="12.75" customHeight="1" x14ac:dyDescent="0.15">
      <c r="A60" s="207"/>
      <c r="B60" s="476"/>
      <c r="C60" s="476"/>
      <c r="D60" s="476"/>
      <c r="E60" s="476"/>
      <c r="F60" s="476"/>
      <c r="G60" s="476"/>
      <c r="H60" s="476"/>
      <c r="I60" s="476"/>
      <c r="J60" s="476"/>
      <c r="K60" s="476"/>
      <c r="L60" s="207"/>
    </row>
    <row r="61" spans="1:12" ht="12.75" customHeight="1" x14ac:dyDescent="0.15">
      <c r="A61" s="207"/>
      <c r="B61" s="476"/>
      <c r="C61" s="476"/>
      <c r="D61" s="476"/>
      <c r="E61" s="476"/>
      <c r="F61" s="476"/>
      <c r="G61" s="476"/>
      <c r="H61" s="476"/>
      <c r="I61" s="476"/>
      <c r="J61" s="476"/>
      <c r="K61" s="476"/>
      <c r="L61" s="207"/>
    </row>
    <row r="62" spans="1:12" ht="12.75" customHeight="1" x14ac:dyDescent="0.15">
      <c r="A62" s="207"/>
      <c r="B62" s="476"/>
      <c r="C62" s="476"/>
      <c r="D62" s="476"/>
      <c r="E62" s="476"/>
      <c r="F62" s="476"/>
      <c r="G62" s="476"/>
      <c r="H62" s="476"/>
      <c r="I62" s="476"/>
      <c r="J62" s="476"/>
      <c r="K62" s="476"/>
      <c r="L62" s="207"/>
    </row>
    <row r="63" spans="1:12" ht="12.75" customHeight="1" x14ac:dyDescent="0.15">
      <c r="A63" s="207"/>
      <c r="B63" s="476"/>
      <c r="C63" s="476"/>
      <c r="D63" s="476"/>
      <c r="E63" s="476"/>
      <c r="F63" s="476"/>
      <c r="G63" s="476"/>
      <c r="H63" s="476"/>
      <c r="I63" s="476"/>
      <c r="J63" s="476"/>
      <c r="K63" s="476"/>
      <c r="L63" s="207"/>
    </row>
    <row r="64" spans="1:12" ht="12.75" customHeight="1" x14ac:dyDescent="0.15">
      <c r="A64" s="207"/>
      <c r="B64" s="476"/>
      <c r="C64" s="476"/>
      <c r="D64" s="476"/>
      <c r="E64" s="476"/>
      <c r="F64" s="476"/>
      <c r="G64" s="476"/>
      <c r="H64" s="476"/>
      <c r="I64" s="476"/>
      <c r="J64" s="476"/>
      <c r="K64" s="476"/>
      <c r="L64" s="207"/>
    </row>
    <row r="65" spans="1:12" ht="12.75" customHeight="1" x14ac:dyDescent="0.15">
      <c r="A65" s="207"/>
      <c r="B65" s="476"/>
      <c r="C65" s="476"/>
      <c r="D65" s="476"/>
      <c r="E65" s="476"/>
      <c r="F65" s="476"/>
      <c r="G65" s="476"/>
      <c r="H65" s="476"/>
      <c r="I65" s="476"/>
      <c r="J65" s="476"/>
      <c r="K65" s="476"/>
      <c r="L65" s="207"/>
    </row>
    <row r="66" spans="1:12" ht="12.75" customHeight="1" x14ac:dyDescent="0.15">
      <c r="A66" s="207"/>
      <c r="B66" s="476"/>
      <c r="C66" s="476"/>
      <c r="D66" s="476"/>
      <c r="E66" s="476"/>
      <c r="F66" s="476"/>
      <c r="G66" s="476"/>
      <c r="H66" s="476"/>
      <c r="I66" s="476"/>
      <c r="J66" s="476"/>
      <c r="K66" s="476"/>
      <c r="L66" s="207"/>
    </row>
    <row r="67" spans="1:12" ht="12.75" customHeight="1" x14ac:dyDescent="0.15">
      <c r="A67" s="207"/>
      <c r="B67" s="476"/>
      <c r="C67" s="476"/>
      <c r="D67" s="476"/>
      <c r="E67" s="476"/>
      <c r="F67" s="476"/>
      <c r="G67" s="476"/>
      <c r="H67" s="476"/>
      <c r="I67" s="476"/>
      <c r="J67" s="476"/>
      <c r="K67" s="476"/>
      <c r="L67" s="207"/>
    </row>
    <row r="68" spans="1:12" ht="12.75" customHeight="1" x14ac:dyDescent="0.15">
      <c r="A68" s="207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207"/>
    </row>
    <row r="69" spans="1:12" ht="12.75" customHeight="1" x14ac:dyDescent="0.15">
      <c r="A69" s="207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207"/>
    </row>
    <row r="70" spans="1:12" ht="12.75" customHeight="1" x14ac:dyDescent="0.15">
      <c r="A70" s="207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207"/>
    </row>
    <row r="71" spans="1:12" ht="12.75" customHeight="1" x14ac:dyDescent="0.15">
      <c r="A71" s="207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207"/>
    </row>
    <row r="72" spans="1:12" ht="14" x14ac:dyDescent="0.2">
      <c r="A72" s="20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207"/>
    </row>
    <row r="73" spans="1:12" ht="14" x14ac:dyDescent="0.2">
      <c r="A73" s="20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207"/>
    </row>
    <row r="74" spans="1:12" ht="14" x14ac:dyDescent="0.2">
      <c r="A74" s="20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207"/>
    </row>
    <row r="75" spans="1:12" ht="14" x14ac:dyDescent="0.2">
      <c r="A75" s="20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207"/>
    </row>
    <row r="76" spans="1:12" ht="14" x14ac:dyDescent="0.2">
      <c r="A76" s="207"/>
      <c r="B76" s="217"/>
      <c r="C76" s="217"/>
      <c r="D76" s="217"/>
      <c r="E76" s="217"/>
      <c r="F76" s="37"/>
      <c r="G76" s="217"/>
      <c r="H76" s="217"/>
      <c r="I76" s="37"/>
      <c r="J76" s="217"/>
      <c r="K76" s="217"/>
      <c r="L76" s="207"/>
    </row>
    <row r="77" spans="1:12" s="13" customFormat="1" ht="15" x14ac:dyDescent="0.2">
      <c r="A77" s="207"/>
      <c r="B77" s="221" t="str">
        <f>C10</f>
        <v>AMIRA TORRES</v>
      </c>
      <c r="C77" s="221"/>
      <c r="D77" s="221"/>
      <c r="E77" s="221"/>
      <c r="F77" s="65"/>
      <c r="G77" s="221" t="s">
        <v>256</v>
      </c>
      <c r="H77" s="221"/>
      <c r="I77" s="65"/>
      <c r="J77" s="221" t="s">
        <v>167</v>
      </c>
      <c r="K77" s="221"/>
      <c r="L77" s="207"/>
    </row>
    <row r="78" spans="1:12" ht="15" x14ac:dyDescent="0.2">
      <c r="A78" s="207"/>
      <c r="B78" s="218" t="s">
        <v>94</v>
      </c>
      <c r="C78" s="218"/>
      <c r="D78" s="218"/>
      <c r="E78" s="218"/>
      <c r="F78"/>
      <c r="G78" s="218" t="s">
        <v>95</v>
      </c>
      <c r="H78" s="218"/>
      <c r="I78"/>
      <c r="J78" s="218" t="s">
        <v>105</v>
      </c>
      <c r="K78" s="218"/>
      <c r="L78" s="207"/>
    </row>
    <row r="79" spans="1:12" ht="14" x14ac:dyDescent="0.2">
      <c r="A79" s="20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207"/>
    </row>
    <row r="80" spans="1:12" ht="14" x14ac:dyDescent="0.2">
      <c r="A80" s="20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207"/>
    </row>
    <row r="81" spans="1:12" ht="14" x14ac:dyDescent="0.2">
      <c r="A81" s="207"/>
      <c r="B81" s="207"/>
      <c r="C81" s="207"/>
      <c r="D81" s="207"/>
      <c r="E81" s="207"/>
      <c r="F81" s="207"/>
      <c r="G81" s="207"/>
      <c r="H81" s="207"/>
      <c r="I81" s="207"/>
      <c r="J81" s="207"/>
      <c r="K81" s="207"/>
      <c r="L81" s="207"/>
    </row>
  </sheetData>
  <mergeCells count="119">
    <mergeCell ref="B78:E78"/>
    <mergeCell ref="G78:H78"/>
    <mergeCell ref="J78:K78"/>
    <mergeCell ref="B81:K81"/>
    <mergeCell ref="E53:K53"/>
    <mergeCell ref="B55:K67"/>
    <mergeCell ref="B76:E76"/>
    <mergeCell ref="G76:H76"/>
    <mergeCell ref="J76:K76"/>
    <mergeCell ref="B77:E77"/>
    <mergeCell ref="G77:H77"/>
    <mergeCell ref="J77:K77"/>
    <mergeCell ref="C47:D47"/>
    <mergeCell ref="F47:G47"/>
    <mergeCell ref="I47:J47"/>
    <mergeCell ref="B49:C49"/>
    <mergeCell ref="D49:D53"/>
    <mergeCell ref="E49:K49"/>
    <mergeCell ref="B50:C50"/>
    <mergeCell ref="E50:K50"/>
    <mergeCell ref="E51:K51"/>
    <mergeCell ref="E52:K52"/>
    <mergeCell ref="C45:D45"/>
    <mergeCell ref="F45:G45"/>
    <mergeCell ref="I45:J45"/>
    <mergeCell ref="C46:D46"/>
    <mergeCell ref="F46:G46"/>
    <mergeCell ref="I46:J46"/>
    <mergeCell ref="C43:D43"/>
    <mergeCell ref="F43:G43"/>
    <mergeCell ref="I43:J43"/>
    <mergeCell ref="C44:D44"/>
    <mergeCell ref="F44:G44"/>
    <mergeCell ref="I44:J44"/>
    <mergeCell ref="C41:D41"/>
    <mergeCell ref="F41:G41"/>
    <mergeCell ref="I41:J41"/>
    <mergeCell ref="C42:D42"/>
    <mergeCell ref="F42:G42"/>
    <mergeCell ref="I42:J42"/>
    <mergeCell ref="C39:D39"/>
    <mergeCell ref="F39:G39"/>
    <mergeCell ref="I39:J39"/>
    <mergeCell ref="C40:D40"/>
    <mergeCell ref="F40:G40"/>
    <mergeCell ref="I40:J40"/>
    <mergeCell ref="C37:D37"/>
    <mergeCell ref="F37:G37"/>
    <mergeCell ref="I37:J37"/>
    <mergeCell ref="C38:D38"/>
    <mergeCell ref="F38:G38"/>
    <mergeCell ref="I38:J38"/>
    <mergeCell ref="C35:D35"/>
    <mergeCell ref="F35:G35"/>
    <mergeCell ref="I35:J35"/>
    <mergeCell ref="C36:D36"/>
    <mergeCell ref="F36:G36"/>
    <mergeCell ref="I36:J36"/>
    <mergeCell ref="C33:D33"/>
    <mergeCell ref="F33:G33"/>
    <mergeCell ref="I33:J33"/>
    <mergeCell ref="C34:D34"/>
    <mergeCell ref="F34:G34"/>
    <mergeCell ref="I34:J34"/>
    <mergeCell ref="C31:D31"/>
    <mergeCell ref="F31:G31"/>
    <mergeCell ref="I31:J31"/>
    <mergeCell ref="C32:D32"/>
    <mergeCell ref="F32:G32"/>
    <mergeCell ref="I32:J32"/>
    <mergeCell ref="C29:D29"/>
    <mergeCell ref="F29:G29"/>
    <mergeCell ref="I29:J29"/>
    <mergeCell ref="C30:D30"/>
    <mergeCell ref="F30:G30"/>
    <mergeCell ref="I30:J30"/>
    <mergeCell ref="B25:D25"/>
    <mergeCell ref="E25:K25"/>
    <mergeCell ref="B26:D26"/>
    <mergeCell ref="E26:K26"/>
    <mergeCell ref="B27:K27"/>
    <mergeCell ref="C28:D28"/>
    <mergeCell ref="F28:G28"/>
    <mergeCell ref="I28:J28"/>
    <mergeCell ref="C21:G21"/>
    <mergeCell ref="I21:K21"/>
    <mergeCell ref="C22:G22"/>
    <mergeCell ref="I22:K22"/>
    <mergeCell ref="B23:K23"/>
    <mergeCell ref="B24:K24"/>
    <mergeCell ref="C18:G18"/>
    <mergeCell ref="I18:K18"/>
    <mergeCell ref="C19:G19"/>
    <mergeCell ref="I19:K19"/>
    <mergeCell ref="C20:G20"/>
    <mergeCell ref="I20:K20"/>
    <mergeCell ref="C14:G14"/>
    <mergeCell ref="I14:K14"/>
    <mergeCell ref="C15:G15"/>
    <mergeCell ref="I15:K15"/>
    <mergeCell ref="B16:K16"/>
    <mergeCell ref="B17:K17"/>
    <mergeCell ref="I10:K10"/>
    <mergeCell ref="C11:G11"/>
    <mergeCell ref="I11:K11"/>
    <mergeCell ref="C12:G12"/>
    <mergeCell ref="I12:K12"/>
    <mergeCell ref="C13:G13"/>
    <mergeCell ref="I13:K13"/>
    <mergeCell ref="A1:A81"/>
    <mergeCell ref="B1:K1"/>
    <mergeCell ref="L1:L81"/>
    <mergeCell ref="B2:I5"/>
    <mergeCell ref="J2:K2"/>
    <mergeCell ref="B6:K6"/>
    <mergeCell ref="B7:K7"/>
    <mergeCell ref="B8:K8"/>
    <mergeCell ref="B9:K9"/>
    <mergeCell ref="C10:G10"/>
  </mergeCells>
  <printOptions horizontalCentered="1"/>
  <pageMargins left="0.31496062992125984" right="0.31496062992125984" top="0.39370078740157483" bottom="0.39370078740157483" header="0" footer="0"/>
  <pageSetup scale="6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2">
    <tabColor rgb="FF00B050"/>
    <pageSetUpPr fitToPage="1"/>
  </sheetPr>
  <dimension ref="A1:N81"/>
  <sheetViews>
    <sheetView showGridLines="0" showZeros="0" view="pageBreakPreview" zoomScale="90" zoomScaleNormal="90" zoomScaleSheetLayoutView="90" zoomScalePageLayoutView="70" workbookViewId="0">
      <selection activeCell="B7" sqref="B7:K7"/>
    </sheetView>
  </sheetViews>
  <sheetFormatPr baseColWidth="10" defaultColWidth="11.5" defaultRowHeight="12" x14ac:dyDescent="0.15"/>
  <cols>
    <col min="1" max="1" width="1.5" style="12" customWidth="1"/>
    <col min="2" max="2" width="19.1640625" style="12" customWidth="1"/>
    <col min="3" max="3" width="22" style="12" bestFit="1" customWidth="1"/>
    <col min="4" max="4" width="1.5" style="12" customWidth="1"/>
    <col min="5" max="5" width="12.5" style="12" bestFit="1" customWidth="1"/>
    <col min="6" max="6" width="2.33203125" style="12" customWidth="1"/>
    <col min="7" max="7" width="15.6640625" style="12" customWidth="1"/>
    <col min="8" max="8" width="17.5" style="12" bestFit="1" customWidth="1"/>
    <col min="9" max="9" width="2.5" style="12" customWidth="1"/>
    <col min="10" max="10" width="21" style="12" customWidth="1"/>
    <col min="11" max="11" width="28.1640625" style="12" customWidth="1"/>
    <col min="12" max="12" width="1.5" style="12" customWidth="1"/>
    <col min="13" max="16384" width="11.5" style="12"/>
  </cols>
  <sheetData>
    <row r="1" spans="1:14" ht="12.75" customHeight="1" x14ac:dyDescent="0.2">
      <c r="A1" s="207"/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</row>
    <row r="2" spans="1:14" ht="12.75" customHeight="1" x14ac:dyDescent="0.15">
      <c r="A2" s="207"/>
      <c r="B2" s="231"/>
      <c r="C2" s="231"/>
      <c r="D2" s="231"/>
      <c r="E2" s="231"/>
      <c r="F2" s="231"/>
      <c r="G2" s="231"/>
      <c r="H2" s="231"/>
      <c r="I2" s="232"/>
      <c r="J2" s="242" t="s">
        <v>122</v>
      </c>
      <c r="K2" s="243"/>
      <c r="L2" s="207"/>
    </row>
    <row r="3" spans="1:14" ht="12.75" customHeight="1" x14ac:dyDescent="0.2">
      <c r="A3" s="207"/>
      <c r="B3" s="231"/>
      <c r="C3" s="231"/>
      <c r="D3" s="231"/>
      <c r="E3" s="231"/>
      <c r="F3" s="231"/>
      <c r="G3" s="231"/>
      <c r="H3" s="231"/>
      <c r="I3" s="232"/>
      <c r="J3" s="50" t="s">
        <v>0</v>
      </c>
      <c r="K3" s="61">
        <f ca="1">(CAPTURA!E8)</f>
        <v>46079</v>
      </c>
      <c r="L3" s="207"/>
    </row>
    <row r="4" spans="1:14" ht="12.75" customHeight="1" x14ac:dyDescent="0.2">
      <c r="A4" s="207"/>
      <c r="B4" s="231"/>
      <c r="C4" s="231"/>
      <c r="D4" s="231"/>
      <c r="E4" s="231"/>
      <c r="F4" s="231"/>
      <c r="G4" s="231"/>
      <c r="H4" s="231"/>
      <c r="I4" s="232"/>
      <c r="J4" s="50" t="s">
        <v>120</v>
      </c>
      <c r="K4" s="62">
        <f>(CAPTURA!E9)</f>
        <v>0</v>
      </c>
      <c r="L4" s="207"/>
    </row>
    <row r="5" spans="1:14" ht="12.75" customHeight="1" x14ac:dyDescent="0.2">
      <c r="A5" s="207"/>
      <c r="B5" s="231"/>
      <c r="C5" s="231"/>
      <c r="D5" s="231"/>
      <c r="E5" s="231"/>
      <c r="F5" s="231"/>
      <c r="G5" s="231"/>
      <c r="H5" s="231"/>
      <c r="I5" s="232"/>
      <c r="J5" s="63"/>
      <c r="K5" s="64"/>
      <c r="L5" s="207"/>
    </row>
    <row r="6" spans="1:14" ht="18" customHeight="1" x14ac:dyDescent="0.2">
      <c r="A6" s="207"/>
      <c r="B6" s="207"/>
      <c r="C6" s="207"/>
      <c r="D6" s="207"/>
      <c r="E6" s="207"/>
      <c r="F6" s="207"/>
      <c r="G6" s="207"/>
      <c r="H6" s="207"/>
      <c r="I6" s="207"/>
      <c r="J6" s="207"/>
      <c r="K6" s="207"/>
      <c r="L6" s="207"/>
    </row>
    <row r="7" spans="1:14" ht="32" customHeight="1" x14ac:dyDescent="0.15">
      <c r="A7" s="207"/>
      <c r="B7" s="244" t="s">
        <v>163</v>
      </c>
      <c r="C7" s="245"/>
      <c r="D7" s="245"/>
      <c r="E7" s="245"/>
      <c r="F7" s="245"/>
      <c r="G7" s="245"/>
      <c r="H7" s="245"/>
      <c r="I7" s="245"/>
      <c r="J7" s="245"/>
      <c r="K7" s="246"/>
      <c r="L7" s="207"/>
    </row>
    <row r="8" spans="1:14" ht="5" customHeight="1" x14ac:dyDescent="0.2">
      <c r="A8" s="207"/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</row>
    <row r="9" spans="1:14" ht="19" x14ac:dyDescent="0.15">
      <c r="A9" s="207"/>
      <c r="B9" s="185" t="s">
        <v>130</v>
      </c>
      <c r="C9" s="186"/>
      <c r="D9" s="186"/>
      <c r="E9" s="186"/>
      <c r="F9" s="186"/>
      <c r="G9" s="186"/>
      <c r="H9" s="186"/>
      <c r="I9" s="186"/>
      <c r="J9" s="186"/>
      <c r="K9" s="187"/>
      <c r="L9" s="207"/>
    </row>
    <row r="10" spans="1:14" ht="15" x14ac:dyDescent="0.15">
      <c r="A10" s="207"/>
      <c r="B10" s="53" t="s">
        <v>97</v>
      </c>
      <c r="C10" s="250" t="s">
        <v>257</v>
      </c>
      <c r="D10" s="251"/>
      <c r="E10" s="251"/>
      <c r="F10" s="251"/>
      <c r="G10" s="252"/>
      <c r="H10" s="54" t="s">
        <v>21</v>
      </c>
      <c r="I10" s="188" t="str">
        <f>CAPTURA!E30</f>
        <v>81 1753 3008</v>
      </c>
      <c r="J10" s="189"/>
      <c r="K10" s="190"/>
      <c r="L10" s="207"/>
    </row>
    <row r="11" spans="1:14" ht="15" x14ac:dyDescent="0.15">
      <c r="A11" s="207"/>
      <c r="B11" s="55" t="s">
        <v>13</v>
      </c>
      <c r="C11" s="222" t="str">
        <f>CAPTURA!E23</f>
        <v xml:space="preserve">CALLE VENEDELLO </v>
      </c>
      <c r="D11" s="192"/>
      <c r="E11" s="192"/>
      <c r="F11" s="192"/>
      <c r="G11" s="223"/>
      <c r="H11" s="56" t="s">
        <v>22</v>
      </c>
      <c r="I11" s="188" t="str">
        <f>CAPTURA!E31</f>
        <v>-</v>
      </c>
      <c r="J11" s="189"/>
      <c r="K11" s="190"/>
      <c r="L11" s="207"/>
    </row>
    <row r="12" spans="1:14" ht="15" x14ac:dyDescent="0.15">
      <c r="A12" s="207"/>
      <c r="B12" s="55" t="s">
        <v>158</v>
      </c>
      <c r="C12" s="222">
        <f>CAPTURA!E24</f>
        <v>1612</v>
      </c>
      <c r="D12" s="192"/>
      <c r="E12" s="192"/>
      <c r="F12" s="192"/>
      <c r="G12" s="223"/>
      <c r="H12" s="56" t="s">
        <v>23</v>
      </c>
      <c r="I12" s="191" t="str">
        <f>CAPTURA!E32</f>
        <v>amira_torres@hotmail.com</v>
      </c>
      <c r="J12" s="192"/>
      <c r="K12" s="193"/>
      <c r="L12" s="207"/>
    </row>
    <row r="13" spans="1:14" ht="15" x14ac:dyDescent="0.15">
      <c r="A13" s="207"/>
      <c r="B13" s="55" t="s">
        <v>15</v>
      </c>
      <c r="C13" s="222" t="str">
        <f>CAPTURA!E25</f>
        <v>VILLAS CANTERIAS</v>
      </c>
      <c r="D13" s="192"/>
      <c r="E13" s="192"/>
      <c r="F13" s="192"/>
      <c r="G13" s="223"/>
      <c r="H13" s="56"/>
      <c r="I13" s="188"/>
      <c r="J13" s="189"/>
      <c r="K13" s="190"/>
      <c r="L13" s="207"/>
    </row>
    <row r="14" spans="1:14" ht="15" x14ac:dyDescent="0.15">
      <c r="A14" s="207"/>
      <c r="B14" s="55" t="s">
        <v>16</v>
      </c>
      <c r="C14" s="222" t="str">
        <f>CAPTURA!E26</f>
        <v>MONTERREY</v>
      </c>
      <c r="D14" s="192"/>
      <c r="E14" s="192"/>
      <c r="F14" s="192"/>
      <c r="G14" s="223"/>
      <c r="H14" s="56" t="s">
        <v>146</v>
      </c>
      <c r="I14" s="194" t="str">
        <f>CAPTURA!J32</f>
        <v>14 ENERO 2026</v>
      </c>
      <c r="J14" s="195"/>
      <c r="K14" s="196"/>
      <c r="L14" s="207"/>
      <c r="N14" s="40"/>
    </row>
    <row r="15" spans="1:14" ht="15" x14ac:dyDescent="0.15">
      <c r="A15" s="207"/>
      <c r="B15" s="59" t="s">
        <v>17</v>
      </c>
      <c r="C15" s="224" t="str">
        <f>CAPTURA!E27</f>
        <v>NUEVO LEÓN</v>
      </c>
      <c r="D15" s="225"/>
      <c r="E15" s="225"/>
      <c r="F15" s="225"/>
      <c r="G15" s="226"/>
      <c r="H15" s="60"/>
      <c r="I15" s="197"/>
      <c r="J15" s="198"/>
      <c r="K15" s="199"/>
      <c r="L15" s="207"/>
    </row>
    <row r="16" spans="1:14" ht="5" customHeight="1" x14ac:dyDescent="0.2">
      <c r="A16" s="207"/>
      <c r="B16" s="207"/>
      <c r="C16" s="207"/>
      <c r="D16" s="207"/>
      <c r="E16" s="207"/>
      <c r="F16" s="207"/>
      <c r="G16" s="207"/>
      <c r="H16" s="207"/>
      <c r="I16" s="207"/>
      <c r="J16" s="207"/>
      <c r="K16" s="207"/>
      <c r="L16" s="207"/>
    </row>
    <row r="17" spans="1:12" ht="19" x14ac:dyDescent="0.15">
      <c r="A17" s="207"/>
      <c r="B17" s="185" t="s">
        <v>131</v>
      </c>
      <c r="C17" s="186"/>
      <c r="D17" s="186"/>
      <c r="E17" s="186"/>
      <c r="F17" s="186"/>
      <c r="G17" s="186"/>
      <c r="H17" s="186"/>
      <c r="I17" s="186"/>
      <c r="J17" s="186"/>
      <c r="K17" s="187"/>
      <c r="L17" s="207"/>
    </row>
    <row r="18" spans="1:12" ht="15" x14ac:dyDescent="0.15">
      <c r="A18" s="207"/>
      <c r="B18" s="53" t="s">
        <v>99</v>
      </c>
      <c r="C18" s="250" t="str">
        <f>(CAPTURA!I17)</f>
        <v>SANTTE RESIDENCIAL</v>
      </c>
      <c r="D18" s="251"/>
      <c r="E18" s="251"/>
      <c r="F18" s="251"/>
      <c r="G18" s="252"/>
      <c r="H18" s="54" t="s">
        <v>100</v>
      </c>
      <c r="I18" s="233">
        <f>CAPTURA!I24</f>
        <v>166.929</v>
      </c>
      <c r="J18" s="234"/>
      <c r="K18" s="235"/>
      <c r="L18" s="207"/>
    </row>
    <row r="19" spans="1:12" ht="15" x14ac:dyDescent="0.15">
      <c r="A19" s="207"/>
      <c r="B19" s="55" t="s">
        <v>75</v>
      </c>
      <c r="C19" s="222">
        <f>CAPTURA!I19</f>
        <v>45</v>
      </c>
      <c r="D19" s="192"/>
      <c r="E19" s="192"/>
      <c r="F19" s="192"/>
      <c r="G19" s="223"/>
      <c r="H19" s="56" t="s">
        <v>101</v>
      </c>
      <c r="I19" s="236">
        <f>CAPTURA!I25</f>
        <v>12580.19876714052</v>
      </c>
      <c r="J19" s="237"/>
      <c r="K19" s="238"/>
      <c r="L19" s="207"/>
    </row>
    <row r="20" spans="1:12" ht="15" x14ac:dyDescent="0.15">
      <c r="A20" s="207"/>
      <c r="B20" s="55" t="s">
        <v>76</v>
      </c>
      <c r="C20" s="222">
        <f>CAPTURA!I20</f>
        <v>16</v>
      </c>
      <c r="D20" s="192"/>
      <c r="E20" s="192"/>
      <c r="F20" s="192"/>
      <c r="G20" s="223"/>
      <c r="H20" s="56" t="s">
        <v>80</v>
      </c>
      <c r="I20" s="236">
        <f>CAPTURA!I26</f>
        <v>2100000</v>
      </c>
      <c r="J20" s="237"/>
      <c r="K20" s="238"/>
      <c r="L20" s="207"/>
    </row>
    <row r="21" spans="1:12" ht="15" x14ac:dyDescent="0.15">
      <c r="A21" s="207"/>
      <c r="B21" s="55" t="s">
        <v>98</v>
      </c>
      <c r="C21" s="222">
        <f>CAPTURA!I21</f>
        <v>114</v>
      </c>
      <c r="D21" s="192"/>
      <c r="E21" s="192"/>
      <c r="F21" s="192"/>
      <c r="G21" s="223"/>
      <c r="H21" s="56" t="s">
        <v>74</v>
      </c>
      <c r="I21" s="239"/>
      <c r="J21" s="240"/>
      <c r="K21" s="241"/>
      <c r="L21" s="207"/>
    </row>
    <row r="22" spans="1:12" ht="15" x14ac:dyDescent="0.15">
      <c r="A22" s="207"/>
      <c r="B22" s="59" t="s">
        <v>79</v>
      </c>
      <c r="C22" s="224" t="str">
        <f>CAPTURA!I22</f>
        <v>AZALEA</v>
      </c>
      <c r="D22" s="225"/>
      <c r="E22" s="225"/>
      <c r="F22" s="225"/>
      <c r="G22" s="226"/>
      <c r="H22" s="60"/>
      <c r="I22" s="247"/>
      <c r="J22" s="248"/>
      <c r="K22" s="249"/>
      <c r="L22" s="207"/>
    </row>
    <row r="23" spans="1:12" ht="5" customHeight="1" x14ac:dyDescent="0.2">
      <c r="A23" s="207"/>
      <c r="B23" s="207"/>
      <c r="C23" s="207"/>
      <c r="D23" s="207"/>
      <c r="E23" s="207"/>
      <c r="F23" s="207"/>
      <c r="G23" s="207"/>
      <c r="H23" s="207"/>
      <c r="I23" s="207"/>
      <c r="J23" s="207"/>
      <c r="K23" s="207"/>
      <c r="L23" s="207"/>
    </row>
    <row r="24" spans="1:12" ht="19" x14ac:dyDescent="0.15">
      <c r="A24" s="207"/>
      <c r="B24" s="214" t="s">
        <v>132</v>
      </c>
      <c r="C24" s="215"/>
      <c r="D24" s="215"/>
      <c r="E24" s="215"/>
      <c r="F24" s="215"/>
      <c r="G24" s="215"/>
      <c r="H24" s="215"/>
      <c r="I24" s="215"/>
      <c r="J24" s="215"/>
      <c r="K24" s="216"/>
      <c r="L24" s="207"/>
    </row>
    <row r="25" spans="1:12" ht="15" x14ac:dyDescent="0.15">
      <c r="A25" s="207"/>
      <c r="B25" s="183" t="s">
        <v>156</v>
      </c>
      <c r="C25" s="263"/>
      <c r="D25" s="264"/>
      <c r="E25" s="257" t="str">
        <f>(CAPTURA!I28)</f>
        <v>CREDITO DIRECTO</v>
      </c>
      <c r="F25" s="258"/>
      <c r="G25" s="258"/>
      <c r="H25" s="258"/>
      <c r="I25" s="258"/>
      <c r="J25" s="258"/>
      <c r="K25" s="259"/>
      <c r="L25" s="207"/>
    </row>
    <row r="26" spans="1:12" ht="15" x14ac:dyDescent="0.2">
      <c r="A26" s="207"/>
      <c r="B26" s="265" t="s">
        <v>157</v>
      </c>
      <c r="C26" s="266"/>
      <c r="D26" s="267"/>
      <c r="E26" s="260"/>
      <c r="F26" s="261"/>
      <c r="G26" s="261"/>
      <c r="H26" s="261"/>
      <c r="I26" s="261"/>
      <c r="J26" s="261"/>
      <c r="K26" s="262"/>
      <c r="L26" s="207"/>
    </row>
    <row r="27" spans="1:12" ht="15" x14ac:dyDescent="0.2">
      <c r="A27" s="207"/>
      <c r="B27" s="200"/>
      <c r="C27" s="201"/>
      <c r="D27" s="201"/>
      <c r="E27" s="201"/>
      <c r="F27" s="201"/>
      <c r="G27" s="201"/>
      <c r="H27" s="201"/>
      <c r="I27" s="201"/>
      <c r="J27" s="201"/>
      <c r="K27" s="202"/>
      <c r="L27" s="207"/>
    </row>
    <row r="28" spans="1:12" ht="15" x14ac:dyDescent="0.15">
      <c r="A28" s="207"/>
      <c r="B28" s="111" t="s">
        <v>102</v>
      </c>
      <c r="C28" s="212" t="s">
        <v>83</v>
      </c>
      <c r="D28" s="213"/>
      <c r="E28" s="112" t="s">
        <v>84</v>
      </c>
      <c r="F28" s="212" t="s">
        <v>86</v>
      </c>
      <c r="G28" s="213"/>
      <c r="H28" s="112" t="s">
        <v>87</v>
      </c>
      <c r="I28" s="212" t="s">
        <v>140</v>
      </c>
      <c r="J28" s="213"/>
      <c r="K28" s="113" t="s">
        <v>139</v>
      </c>
      <c r="L28" s="207"/>
    </row>
    <row r="29" spans="1:12" ht="15" x14ac:dyDescent="0.2">
      <c r="A29" s="207"/>
      <c r="B29" s="50"/>
      <c r="C29" s="203"/>
      <c r="D29" s="204"/>
      <c r="E29" s="91"/>
      <c r="F29" s="203"/>
      <c r="G29" s="204"/>
      <c r="H29" s="91"/>
      <c r="I29" s="203"/>
      <c r="J29" s="204"/>
      <c r="K29" s="92"/>
      <c r="L29" s="207"/>
    </row>
    <row r="30" spans="1:12" ht="15" x14ac:dyDescent="0.2">
      <c r="A30" s="207"/>
      <c r="B30" s="93">
        <f>(CAPTURA!H32)</f>
        <v>1</v>
      </c>
      <c r="C30" s="210" t="str">
        <f>CAPTURA!I32</f>
        <v>SEPARACION</v>
      </c>
      <c r="D30" s="211"/>
      <c r="E30" s="94" t="str">
        <f>(CAPTURA!J32)</f>
        <v>14 ENERO 2026</v>
      </c>
      <c r="F30" s="205">
        <f>(CAPTURA!K32)</f>
        <v>2100000</v>
      </c>
      <c r="G30" s="206">
        <f>(CAPTURA!K32)</f>
        <v>2100000</v>
      </c>
      <c r="H30" s="95">
        <f>(CAPTURA!L32)</f>
        <v>0</v>
      </c>
      <c r="I30" s="208">
        <f>(CAPTURA!M32)</f>
        <v>50000</v>
      </c>
      <c r="J30" s="209">
        <f>(CAPTURA!M32)</f>
        <v>50000</v>
      </c>
      <c r="K30" s="96">
        <f>(CAPTURA!N32)</f>
        <v>50000</v>
      </c>
      <c r="L30" s="207"/>
    </row>
    <row r="31" spans="1:12" ht="15" x14ac:dyDescent="0.2">
      <c r="A31" s="207"/>
      <c r="B31" s="93">
        <f>(CAPTURA!H33)</f>
        <v>2</v>
      </c>
      <c r="C31" s="255" t="str">
        <f>(CAPTURA!I33)</f>
        <v>ENGANCHE</v>
      </c>
      <c r="D31" s="211"/>
      <c r="E31" s="94" t="str">
        <f>(CAPTURA!J33)</f>
        <v>26 ENERO 2026</v>
      </c>
      <c r="F31" s="205">
        <f>(CAPTURA!K33)</f>
        <v>2050000</v>
      </c>
      <c r="G31" s="206">
        <f>(CAPTURA!K33)</f>
        <v>2050000</v>
      </c>
      <c r="H31" s="95">
        <f>(CAPTURA!L33)</f>
        <v>0</v>
      </c>
      <c r="I31" s="208">
        <f>(CAPTURA!M33)</f>
        <v>630000</v>
      </c>
      <c r="J31" s="209">
        <f>(CAPTURA!M33)</f>
        <v>630000</v>
      </c>
      <c r="K31" s="96">
        <f>(CAPTURA!N33)</f>
        <v>630000</v>
      </c>
      <c r="L31" s="207"/>
    </row>
    <row r="32" spans="1:12" ht="15" x14ac:dyDescent="0.2">
      <c r="A32" s="207"/>
      <c r="B32" s="93">
        <f>(CAPTURA!H34)</f>
        <v>3</v>
      </c>
      <c r="C32" s="255" t="str">
        <f>(CAPTURA!I34)</f>
        <v>ESCRITURACIÓN</v>
      </c>
      <c r="D32" s="211"/>
      <c r="E32" s="94" t="str">
        <f>(CAPTURA!J34)</f>
        <v>2 MARZO 2026</v>
      </c>
      <c r="F32" s="205">
        <f>(CAPTURA!K34)</f>
        <v>1420000</v>
      </c>
      <c r="G32" s="206">
        <f>(CAPTURA!K34)</f>
        <v>1420000</v>
      </c>
      <c r="H32" s="95">
        <f>(CAPTURA!L34)</f>
        <v>0</v>
      </c>
      <c r="I32" s="208">
        <f>(CAPTURA!M34)</f>
        <v>1420000</v>
      </c>
      <c r="J32" s="209">
        <f>(CAPTURA!M34)</f>
        <v>1420000</v>
      </c>
      <c r="K32" s="96">
        <f>(CAPTURA!N34)</f>
        <v>1420000</v>
      </c>
      <c r="L32" s="207"/>
    </row>
    <row r="33" spans="1:12" ht="15" x14ac:dyDescent="0.2">
      <c r="A33" s="207"/>
      <c r="B33" s="93">
        <f>(CAPTURA!H35)</f>
        <v>0</v>
      </c>
      <c r="C33" s="255">
        <f>(CAPTURA!I35)</f>
        <v>0</v>
      </c>
      <c r="D33" s="211"/>
      <c r="E33" s="94">
        <f>(CAPTURA!J35)</f>
        <v>0</v>
      </c>
      <c r="F33" s="205">
        <f>(CAPTURA!K35)</f>
        <v>0</v>
      </c>
      <c r="G33" s="206">
        <f>(CAPTURA!K35)</f>
        <v>0</v>
      </c>
      <c r="H33" s="95">
        <f>(CAPTURA!L35)</f>
        <v>0</v>
      </c>
      <c r="I33" s="208">
        <f>(CAPTURA!M35)</f>
        <v>0</v>
      </c>
      <c r="J33" s="209">
        <f>(CAPTURA!M35)</f>
        <v>0</v>
      </c>
      <c r="K33" s="96">
        <f>(CAPTURA!N35)</f>
        <v>0</v>
      </c>
      <c r="L33" s="207"/>
    </row>
    <row r="34" spans="1:12" ht="15" x14ac:dyDescent="0.2">
      <c r="A34" s="207"/>
      <c r="B34" s="93">
        <f>(CAPTURA!H36)</f>
        <v>0</v>
      </c>
      <c r="C34" s="255">
        <f>(CAPTURA!I36)</f>
        <v>0</v>
      </c>
      <c r="D34" s="211"/>
      <c r="E34" s="94">
        <f>(CAPTURA!J36)</f>
        <v>0</v>
      </c>
      <c r="F34" s="205">
        <f>(CAPTURA!K36)</f>
        <v>0</v>
      </c>
      <c r="G34" s="206">
        <f>(CAPTURA!K36)</f>
        <v>0</v>
      </c>
      <c r="H34" s="95">
        <f>(CAPTURA!L36)</f>
        <v>0</v>
      </c>
      <c r="I34" s="208">
        <f>(CAPTURA!M36)</f>
        <v>0</v>
      </c>
      <c r="J34" s="209">
        <f>(CAPTURA!M36)</f>
        <v>0</v>
      </c>
      <c r="K34" s="96">
        <f>(CAPTURA!N36)</f>
        <v>0</v>
      </c>
      <c r="L34" s="207"/>
    </row>
    <row r="35" spans="1:12" ht="15" x14ac:dyDescent="0.2">
      <c r="A35" s="207"/>
      <c r="B35" s="93">
        <f>(CAPTURA!H37)</f>
        <v>0</v>
      </c>
      <c r="C35" s="255">
        <f>(CAPTURA!I37)</f>
        <v>0</v>
      </c>
      <c r="D35" s="211"/>
      <c r="E35" s="94">
        <f>(CAPTURA!J37)</f>
        <v>0</v>
      </c>
      <c r="F35" s="205">
        <f>(CAPTURA!K37)</f>
        <v>0</v>
      </c>
      <c r="G35" s="206">
        <f>(CAPTURA!K37)</f>
        <v>0</v>
      </c>
      <c r="H35" s="95">
        <f>(CAPTURA!L37)</f>
        <v>0</v>
      </c>
      <c r="I35" s="208">
        <f>(CAPTURA!M37)</f>
        <v>0</v>
      </c>
      <c r="J35" s="209">
        <f>(CAPTURA!M37)</f>
        <v>0</v>
      </c>
      <c r="K35" s="96">
        <f>(CAPTURA!N37)</f>
        <v>0</v>
      </c>
      <c r="L35" s="207"/>
    </row>
    <row r="36" spans="1:12" ht="15" x14ac:dyDescent="0.2">
      <c r="A36" s="207"/>
      <c r="B36" s="93">
        <f>(CAPTURA!H38)</f>
        <v>0</v>
      </c>
      <c r="C36" s="255">
        <f>(CAPTURA!I38)</f>
        <v>0</v>
      </c>
      <c r="D36" s="211"/>
      <c r="E36" s="94">
        <f>(CAPTURA!J38)</f>
        <v>0</v>
      </c>
      <c r="F36" s="205">
        <f>(CAPTURA!K38)</f>
        <v>0</v>
      </c>
      <c r="G36" s="206">
        <f>(CAPTURA!K38)</f>
        <v>0</v>
      </c>
      <c r="H36" s="95">
        <f>(CAPTURA!L38)</f>
        <v>0</v>
      </c>
      <c r="I36" s="208">
        <f>(CAPTURA!M38)</f>
        <v>0</v>
      </c>
      <c r="J36" s="209">
        <f>(CAPTURA!M38)</f>
        <v>0</v>
      </c>
      <c r="K36" s="96">
        <f>(CAPTURA!N38)</f>
        <v>0</v>
      </c>
      <c r="L36" s="207"/>
    </row>
    <row r="37" spans="1:12" ht="15" x14ac:dyDescent="0.2">
      <c r="A37" s="207"/>
      <c r="B37" s="93">
        <f>(CAPTURA!H39)</f>
        <v>0</v>
      </c>
      <c r="C37" s="255">
        <f>(CAPTURA!I39)</f>
        <v>0</v>
      </c>
      <c r="D37" s="211"/>
      <c r="E37" s="94">
        <f>(CAPTURA!J39)</f>
        <v>0</v>
      </c>
      <c r="F37" s="205">
        <f>(CAPTURA!K39)</f>
        <v>0</v>
      </c>
      <c r="G37" s="206">
        <f>(CAPTURA!K39)</f>
        <v>0</v>
      </c>
      <c r="H37" s="95">
        <f>(CAPTURA!L39)</f>
        <v>0</v>
      </c>
      <c r="I37" s="208">
        <f>(CAPTURA!M39)</f>
        <v>0</v>
      </c>
      <c r="J37" s="209">
        <f>(CAPTURA!M39)</f>
        <v>0</v>
      </c>
      <c r="K37" s="96">
        <f>(CAPTURA!N39)</f>
        <v>0</v>
      </c>
      <c r="L37" s="207"/>
    </row>
    <row r="38" spans="1:12" ht="15" x14ac:dyDescent="0.2">
      <c r="A38" s="207"/>
      <c r="B38" s="93">
        <f>(CAPTURA!H40)</f>
        <v>0</v>
      </c>
      <c r="C38" s="255">
        <f>(CAPTURA!I40)</f>
        <v>0</v>
      </c>
      <c r="D38" s="211"/>
      <c r="E38" s="94">
        <f>(CAPTURA!J40)</f>
        <v>0</v>
      </c>
      <c r="F38" s="205">
        <f>(CAPTURA!K40)</f>
        <v>0</v>
      </c>
      <c r="G38" s="206">
        <f>(CAPTURA!K40)</f>
        <v>0</v>
      </c>
      <c r="H38" s="95">
        <f>(CAPTURA!L40)</f>
        <v>0</v>
      </c>
      <c r="I38" s="208">
        <f>(CAPTURA!M40)</f>
        <v>0</v>
      </c>
      <c r="J38" s="209">
        <f>(CAPTURA!M40)</f>
        <v>0</v>
      </c>
      <c r="K38" s="96">
        <f>(CAPTURA!N40)</f>
        <v>0</v>
      </c>
      <c r="L38" s="207"/>
    </row>
    <row r="39" spans="1:12" ht="15" x14ac:dyDescent="0.2">
      <c r="A39" s="207"/>
      <c r="B39" s="93">
        <f>(CAPTURA!H41)</f>
        <v>0</v>
      </c>
      <c r="C39" s="255">
        <f>(CAPTURA!I41)</f>
        <v>0</v>
      </c>
      <c r="D39" s="211"/>
      <c r="E39" s="94">
        <f>(CAPTURA!J41)</f>
        <v>0</v>
      </c>
      <c r="F39" s="205">
        <f>(CAPTURA!K41)</f>
        <v>0</v>
      </c>
      <c r="G39" s="206">
        <f>(CAPTURA!K41)</f>
        <v>0</v>
      </c>
      <c r="H39" s="95">
        <f>(CAPTURA!L41)</f>
        <v>0</v>
      </c>
      <c r="I39" s="208">
        <f>(CAPTURA!M41)</f>
        <v>0</v>
      </c>
      <c r="J39" s="209">
        <f>(CAPTURA!M41)</f>
        <v>0</v>
      </c>
      <c r="K39" s="96">
        <f>(CAPTURA!N41)</f>
        <v>0</v>
      </c>
      <c r="L39" s="207"/>
    </row>
    <row r="40" spans="1:12" ht="15" x14ac:dyDescent="0.2">
      <c r="A40" s="207"/>
      <c r="B40" s="93">
        <f>(CAPTURA!H42)</f>
        <v>0</v>
      </c>
      <c r="C40" s="255">
        <f>(CAPTURA!I42)</f>
        <v>0</v>
      </c>
      <c r="D40" s="211"/>
      <c r="E40" s="94">
        <f>(CAPTURA!J42)</f>
        <v>0</v>
      </c>
      <c r="F40" s="205">
        <f>(CAPTURA!K42)</f>
        <v>0</v>
      </c>
      <c r="G40" s="206">
        <f>(CAPTURA!K42)</f>
        <v>0</v>
      </c>
      <c r="H40" s="95">
        <f>(CAPTURA!L42)</f>
        <v>0</v>
      </c>
      <c r="I40" s="208">
        <f>(CAPTURA!M42)</f>
        <v>0</v>
      </c>
      <c r="J40" s="209">
        <f>(CAPTURA!M42)</f>
        <v>0</v>
      </c>
      <c r="K40" s="96">
        <f>(CAPTURA!N42)</f>
        <v>0</v>
      </c>
      <c r="L40" s="207"/>
    </row>
    <row r="41" spans="1:12" ht="15" x14ac:dyDescent="0.2">
      <c r="A41" s="207"/>
      <c r="B41" s="93">
        <f>(CAPTURA!H44)</f>
        <v>0</v>
      </c>
      <c r="C41" s="210">
        <f>(CAPTURA!I44)</f>
        <v>0</v>
      </c>
      <c r="D41" s="211"/>
      <c r="E41" s="94">
        <f>(CAPTURA!J44)</f>
        <v>0</v>
      </c>
      <c r="F41" s="205">
        <f>(CAPTURA!K44)</f>
        <v>0</v>
      </c>
      <c r="G41" s="206">
        <f>(CAPTURA!K43)</f>
        <v>0</v>
      </c>
      <c r="H41" s="95">
        <f>(CAPTURA!L44)</f>
        <v>0</v>
      </c>
      <c r="I41" s="208">
        <f>(CAPTURA!M44)</f>
        <v>0</v>
      </c>
      <c r="J41" s="209">
        <f>(CAPTURA!M43)</f>
        <v>0</v>
      </c>
      <c r="K41" s="96">
        <f>(CAPTURA!N44)</f>
        <v>0</v>
      </c>
      <c r="L41" s="207"/>
    </row>
    <row r="42" spans="1:12" ht="15" x14ac:dyDescent="0.2">
      <c r="A42" s="207"/>
      <c r="B42" s="93">
        <f>(CAPTURA!H45)</f>
        <v>0</v>
      </c>
      <c r="C42" s="210">
        <f>(CAPTURA!I45)</f>
        <v>0</v>
      </c>
      <c r="D42" s="211"/>
      <c r="E42" s="94">
        <f>(CAPTURA!J45)</f>
        <v>0</v>
      </c>
      <c r="F42" s="205">
        <f>(CAPTURA!K45)</f>
        <v>0</v>
      </c>
      <c r="G42" s="206">
        <f>(CAPTURA!K44)</f>
        <v>0</v>
      </c>
      <c r="H42" s="95">
        <f>(CAPTURA!L45)</f>
        <v>0</v>
      </c>
      <c r="I42" s="208">
        <f>(CAPTURA!M45)</f>
        <v>0</v>
      </c>
      <c r="J42" s="209">
        <f>(CAPTURA!M44)</f>
        <v>0</v>
      </c>
      <c r="K42" s="96">
        <f>(CAPTURA!N45)</f>
        <v>0</v>
      </c>
      <c r="L42" s="207"/>
    </row>
    <row r="43" spans="1:12" ht="15" x14ac:dyDescent="0.2">
      <c r="A43" s="207"/>
      <c r="B43" s="93">
        <f>(CAPTURA!H46)</f>
        <v>0</v>
      </c>
      <c r="C43" s="210">
        <f>(CAPTURA!I46)</f>
        <v>0</v>
      </c>
      <c r="D43" s="211"/>
      <c r="E43" s="94">
        <f>(CAPTURA!J46)</f>
        <v>0</v>
      </c>
      <c r="F43" s="205">
        <f>(CAPTURA!K46)</f>
        <v>0</v>
      </c>
      <c r="G43" s="206">
        <f>(CAPTURA!K45)</f>
        <v>0</v>
      </c>
      <c r="H43" s="95">
        <f>(CAPTURA!L46)</f>
        <v>0</v>
      </c>
      <c r="I43" s="208">
        <f>(CAPTURA!M46)</f>
        <v>0</v>
      </c>
      <c r="J43" s="209">
        <f>(CAPTURA!M45)</f>
        <v>0</v>
      </c>
      <c r="K43" s="96">
        <f>(CAPTURA!N46)</f>
        <v>0</v>
      </c>
      <c r="L43" s="207"/>
    </row>
    <row r="44" spans="1:12" ht="15" x14ac:dyDescent="0.2">
      <c r="A44" s="207"/>
      <c r="B44" s="93">
        <f>(CAPTURA!H47)</f>
        <v>0</v>
      </c>
      <c r="C44" s="210">
        <f>(CAPTURA!I47)</f>
        <v>0</v>
      </c>
      <c r="D44" s="211"/>
      <c r="E44" s="94">
        <f>(CAPTURA!J47)</f>
        <v>0</v>
      </c>
      <c r="F44" s="205">
        <f>(CAPTURA!K47)</f>
        <v>0</v>
      </c>
      <c r="G44" s="206">
        <f>(CAPTURA!K46)</f>
        <v>0</v>
      </c>
      <c r="H44" s="95">
        <f>(CAPTURA!L47)</f>
        <v>0</v>
      </c>
      <c r="I44" s="208">
        <f>(CAPTURA!M47)</f>
        <v>0</v>
      </c>
      <c r="J44" s="209">
        <f>(CAPTURA!M46)</f>
        <v>0</v>
      </c>
      <c r="K44" s="96">
        <f>(CAPTURA!N47)</f>
        <v>0</v>
      </c>
      <c r="L44" s="207"/>
    </row>
    <row r="45" spans="1:12" ht="16" thickBot="1" x14ac:dyDescent="0.25">
      <c r="A45" s="207"/>
      <c r="B45" s="50"/>
      <c r="C45" s="203"/>
      <c r="D45" s="204"/>
      <c r="E45" s="91"/>
      <c r="F45" s="273"/>
      <c r="G45" s="274"/>
      <c r="H45" s="97"/>
      <c r="I45" s="219"/>
      <c r="J45" s="220"/>
      <c r="K45" s="98"/>
      <c r="L45" s="207"/>
    </row>
    <row r="46" spans="1:12" customFormat="1" ht="16" thickTop="1" x14ac:dyDescent="0.2">
      <c r="A46" s="207"/>
      <c r="B46" s="50"/>
      <c r="C46" s="253" t="str">
        <f>(CAPTURA!I48)</f>
        <v>VALOR TOTAL:</v>
      </c>
      <c r="D46" s="254"/>
      <c r="E46" s="48"/>
      <c r="F46" s="275">
        <f>(CAPTURA!K48)</f>
        <v>0</v>
      </c>
      <c r="G46" s="276">
        <f>(CAPTURA!K48)</f>
        <v>0</v>
      </c>
      <c r="H46" s="49">
        <f>(CAPTURA!L48)</f>
        <v>0</v>
      </c>
      <c r="I46" s="229">
        <f>(CAPTURA!M48)</f>
        <v>2100000</v>
      </c>
      <c r="J46" s="230">
        <f>(CAPTURA!M48)</f>
        <v>2100000</v>
      </c>
      <c r="K46" s="68">
        <f>(CAPTURA!N48)</f>
        <v>2100000</v>
      </c>
      <c r="L46" s="207"/>
    </row>
    <row r="47" spans="1:12" ht="15" x14ac:dyDescent="0.2">
      <c r="A47" s="207"/>
      <c r="B47" s="63"/>
      <c r="C47" s="227"/>
      <c r="D47" s="228"/>
      <c r="E47" s="99"/>
      <c r="F47" s="227"/>
      <c r="G47" s="228"/>
      <c r="H47" s="99"/>
      <c r="I47" s="227"/>
      <c r="J47" s="228">
        <f>(CAPTURA!M49)</f>
        <v>0</v>
      </c>
      <c r="K47" s="64"/>
      <c r="L47" s="207"/>
    </row>
    <row r="48" spans="1:12" ht="5.25" customHeight="1" x14ac:dyDescent="0.2">
      <c r="A48" s="20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207"/>
    </row>
    <row r="49" spans="1:12" ht="15" customHeight="1" x14ac:dyDescent="0.15">
      <c r="A49" s="207"/>
      <c r="B49" s="271" t="s">
        <v>151</v>
      </c>
      <c r="C49" s="272"/>
      <c r="D49" s="218"/>
      <c r="E49" s="268" t="s">
        <v>154</v>
      </c>
      <c r="F49" s="269"/>
      <c r="G49" s="269"/>
      <c r="H49" s="269"/>
      <c r="I49" s="269"/>
      <c r="J49" s="269"/>
      <c r="K49" s="270"/>
      <c r="L49" s="207"/>
    </row>
    <row r="50" spans="1:12" ht="15" customHeight="1" x14ac:dyDescent="0.2">
      <c r="A50" s="207"/>
      <c r="B50" s="183" t="s">
        <v>147</v>
      </c>
      <c r="C50" s="184"/>
      <c r="D50" s="218"/>
      <c r="E50" s="277"/>
      <c r="F50" s="278"/>
      <c r="G50" s="278"/>
      <c r="H50" s="278"/>
      <c r="I50" s="278"/>
      <c r="J50" s="278"/>
      <c r="K50" s="279"/>
      <c r="L50" s="207"/>
    </row>
    <row r="51" spans="1:12" ht="15" x14ac:dyDescent="0.2">
      <c r="A51" s="207"/>
      <c r="B51" s="50" t="s">
        <v>148</v>
      </c>
      <c r="C51" s="107" t="s">
        <v>160</v>
      </c>
      <c r="D51" s="218"/>
      <c r="E51" s="280"/>
      <c r="F51" s="218"/>
      <c r="G51" s="218"/>
      <c r="H51" s="218"/>
      <c r="I51" s="218"/>
      <c r="J51" s="218"/>
      <c r="K51" s="281"/>
      <c r="L51" s="207"/>
    </row>
    <row r="52" spans="1:12" ht="15" x14ac:dyDescent="0.2">
      <c r="A52" s="207"/>
      <c r="B52" s="50" t="s">
        <v>149</v>
      </c>
      <c r="C52" s="107">
        <v>112115234</v>
      </c>
      <c r="D52" s="218"/>
      <c r="E52" s="280"/>
      <c r="F52" s="218"/>
      <c r="G52" s="218"/>
      <c r="H52" s="218"/>
      <c r="I52" s="218"/>
      <c r="J52" s="218"/>
      <c r="K52" s="281"/>
      <c r="L52" s="207"/>
    </row>
    <row r="53" spans="1:12" ht="15" x14ac:dyDescent="0.2">
      <c r="A53" s="207"/>
      <c r="B53" s="63" t="s">
        <v>150</v>
      </c>
      <c r="C53" s="120" t="s">
        <v>161</v>
      </c>
      <c r="D53" s="218"/>
      <c r="E53" s="282"/>
      <c r="F53" s="283"/>
      <c r="G53" s="283"/>
      <c r="H53" s="283"/>
      <c r="I53" s="283"/>
      <c r="J53" s="283"/>
      <c r="K53" s="284"/>
      <c r="L53" s="207"/>
    </row>
    <row r="54" spans="1:12" ht="14" x14ac:dyDescent="0.2">
      <c r="A54" s="20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207"/>
    </row>
    <row r="55" spans="1:12" ht="12.75" customHeight="1" x14ac:dyDescent="0.15">
      <c r="A55" s="207"/>
      <c r="B55" s="256" t="s">
        <v>229</v>
      </c>
      <c r="C55" s="256"/>
      <c r="D55" s="256"/>
      <c r="E55" s="256"/>
      <c r="F55" s="256"/>
      <c r="G55" s="256"/>
      <c r="H55" s="256"/>
      <c r="I55" s="256"/>
      <c r="J55" s="256"/>
      <c r="K55" s="256"/>
      <c r="L55" s="207"/>
    </row>
    <row r="56" spans="1:12" ht="12.75" customHeight="1" x14ac:dyDescent="0.15">
      <c r="A56" s="207"/>
      <c r="B56" s="256"/>
      <c r="C56" s="256"/>
      <c r="D56" s="256"/>
      <c r="E56" s="256"/>
      <c r="F56" s="256"/>
      <c r="G56" s="256"/>
      <c r="H56" s="256"/>
      <c r="I56" s="256"/>
      <c r="J56" s="256"/>
      <c r="K56" s="256"/>
      <c r="L56" s="207"/>
    </row>
    <row r="57" spans="1:12" ht="12.75" customHeight="1" x14ac:dyDescent="0.15">
      <c r="A57" s="207"/>
      <c r="B57" s="256"/>
      <c r="C57" s="256"/>
      <c r="D57" s="256"/>
      <c r="E57" s="256"/>
      <c r="F57" s="256"/>
      <c r="G57" s="256"/>
      <c r="H57" s="256"/>
      <c r="I57" s="256"/>
      <c r="J57" s="256"/>
      <c r="K57" s="256"/>
      <c r="L57" s="207"/>
    </row>
    <row r="58" spans="1:12" ht="12.75" customHeight="1" x14ac:dyDescent="0.15">
      <c r="A58" s="207"/>
      <c r="B58" s="256"/>
      <c r="C58" s="256"/>
      <c r="D58" s="256"/>
      <c r="E58" s="256"/>
      <c r="F58" s="256"/>
      <c r="G58" s="256"/>
      <c r="H58" s="256"/>
      <c r="I58" s="256"/>
      <c r="J58" s="256"/>
      <c r="K58" s="256"/>
      <c r="L58" s="207"/>
    </row>
    <row r="59" spans="1:12" ht="12.75" customHeight="1" x14ac:dyDescent="0.15">
      <c r="A59" s="207"/>
      <c r="B59" s="256"/>
      <c r="C59" s="256"/>
      <c r="D59" s="256"/>
      <c r="E59" s="256"/>
      <c r="F59" s="256"/>
      <c r="G59" s="256"/>
      <c r="H59" s="256"/>
      <c r="I59" s="256"/>
      <c r="J59" s="256"/>
      <c r="K59" s="256"/>
      <c r="L59" s="207"/>
    </row>
    <row r="60" spans="1:12" ht="12.75" customHeight="1" x14ac:dyDescent="0.15">
      <c r="A60" s="207"/>
      <c r="B60" s="256"/>
      <c r="C60" s="256"/>
      <c r="D60" s="256"/>
      <c r="E60" s="256"/>
      <c r="F60" s="256"/>
      <c r="G60" s="256"/>
      <c r="H60" s="256"/>
      <c r="I60" s="256"/>
      <c r="J60" s="256"/>
      <c r="K60" s="256"/>
      <c r="L60" s="207"/>
    </row>
    <row r="61" spans="1:12" ht="12.75" customHeight="1" x14ac:dyDescent="0.15">
      <c r="A61" s="207"/>
      <c r="B61" s="256"/>
      <c r="C61" s="256"/>
      <c r="D61" s="256"/>
      <c r="E61" s="256"/>
      <c r="F61" s="256"/>
      <c r="G61" s="256"/>
      <c r="H61" s="256"/>
      <c r="I61" s="256"/>
      <c r="J61" s="256"/>
      <c r="K61" s="256"/>
      <c r="L61" s="207"/>
    </row>
    <row r="62" spans="1:12" ht="12.75" customHeight="1" x14ac:dyDescent="0.15">
      <c r="A62" s="207"/>
      <c r="B62" s="256"/>
      <c r="C62" s="256"/>
      <c r="D62" s="256"/>
      <c r="E62" s="256"/>
      <c r="F62" s="256"/>
      <c r="G62" s="256"/>
      <c r="H62" s="256"/>
      <c r="I62" s="256"/>
      <c r="J62" s="256"/>
      <c r="K62" s="256"/>
      <c r="L62" s="207"/>
    </row>
    <row r="63" spans="1:12" ht="12.75" customHeight="1" x14ac:dyDescent="0.15">
      <c r="A63" s="207"/>
      <c r="B63" s="256"/>
      <c r="C63" s="256"/>
      <c r="D63" s="256"/>
      <c r="E63" s="256"/>
      <c r="F63" s="256"/>
      <c r="G63" s="256"/>
      <c r="H63" s="256"/>
      <c r="I63" s="256"/>
      <c r="J63" s="256"/>
      <c r="K63" s="256"/>
      <c r="L63" s="207"/>
    </row>
    <row r="64" spans="1:12" ht="12.75" customHeight="1" x14ac:dyDescent="0.15">
      <c r="A64" s="207"/>
      <c r="B64" s="256"/>
      <c r="C64" s="256"/>
      <c r="D64" s="256"/>
      <c r="E64" s="256"/>
      <c r="F64" s="256"/>
      <c r="G64" s="256"/>
      <c r="H64" s="256"/>
      <c r="I64" s="256"/>
      <c r="J64" s="256"/>
      <c r="K64" s="256"/>
      <c r="L64" s="207"/>
    </row>
    <row r="65" spans="1:12" ht="12.75" customHeight="1" x14ac:dyDescent="0.15">
      <c r="A65" s="207"/>
      <c r="B65" s="256"/>
      <c r="C65" s="256"/>
      <c r="D65" s="256"/>
      <c r="E65" s="256"/>
      <c r="F65" s="256"/>
      <c r="G65" s="256"/>
      <c r="H65" s="256"/>
      <c r="I65" s="256"/>
      <c r="J65" s="256"/>
      <c r="K65" s="256"/>
      <c r="L65" s="207"/>
    </row>
    <row r="66" spans="1:12" ht="12.75" customHeight="1" x14ac:dyDescent="0.15">
      <c r="A66" s="207"/>
      <c r="B66" s="256"/>
      <c r="C66" s="256"/>
      <c r="D66" s="256"/>
      <c r="E66" s="256"/>
      <c r="F66" s="256"/>
      <c r="G66" s="256"/>
      <c r="H66" s="256"/>
      <c r="I66" s="256"/>
      <c r="J66" s="256"/>
      <c r="K66" s="256"/>
      <c r="L66" s="207"/>
    </row>
    <row r="67" spans="1:12" ht="12.75" customHeight="1" x14ac:dyDescent="0.15">
      <c r="A67" s="207"/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07"/>
    </row>
    <row r="68" spans="1:12" ht="12.75" customHeight="1" x14ac:dyDescent="0.15">
      <c r="A68" s="207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207"/>
    </row>
    <row r="69" spans="1:12" ht="12.75" customHeight="1" x14ac:dyDescent="0.15">
      <c r="A69" s="207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207"/>
    </row>
    <row r="70" spans="1:12" ht="12.75" customHeight="1" x14ac:dyDescent="0.15">
      <c r="A70" s="207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207"/>
    </row>
    <row r="71" spans="1:12" ht="12.75" customHeight="1" x14ac:dyDescent="0.15">
      <c r="A71" s="207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207"/>
    </row>
    <row r="72" spans="1:12" ht="14" x14ac:dyDescent="0.2">
      <c r="A72" s="20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207"/>
    </row>
    <row r="73" spans="1:12" ht="14" x14ac:dyDescent="0.2">
      <c r="A73" s="20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207"/>
    </row>
    <row r="74" spans="1:12" ht="14" x14ac:dyDescent="0.2">
      <c r="A74" s="20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207"/>
    </row>
    <row r="75" spans="1:12" ht="14" x14ac:dyDescent="0.2">
      <c r="A75" s="20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207"/>
    </row>
    <row r="76" spans="1:12" ht="14" x14ac:dyDescent="0.2">
      <c r="A76" s="207"/>
      <c r="B76" s="217"/>
      <c r="C76" s="217"/>
      <c r="D76" s="217"/>
      <c r="E76" s="217"/>
      <c r="F76" s="37"/>
      <c r="G76" s="217"/>
      <c r="H76" s="217"/>
      <c r="I76" s="37"/>
      <c r="J76" s="217"/>
      <c r="K76" s="217"/>
      <c r="L76" s="207"/>
    </row>
    <row r="77" spans="1:12" s="13" customFormat="1" ht="15" x14ac:dyDescent="0.2">
      <c r="A77" s="207"/>
      <c r="B77" s="221" t="str">
        <f>C10</f>
        <v>AMIRA TORRES</v>
      </c>
      <c r="C77" s="221"/>
      <c r="D77" s="221"/>
      <c r="E77" s="221"/>
      <c r="F77" s="65"/>
      <c r="G77" s="221" t="s">
        <v>256</v>
      </c>
      <c r="H77" s="221"/>
      <c r="I77" s="65"/>
      <c r="J77" s="221" t="s">
        <v>167</v>
      </c>
      <c r="K77" s="221"/>
      <c r="L77" s="207"/>
    </row>
    <row r="78" spans="1:12" ht="15" x14ac:dyDescent="0.2">
      <c r="A78" s="207"/>
      <c r="B78" s="218" t="s">
        <v>94</v>
      </c>
      <c r="C78" s="218"/>
      <c r="D78" s="218"/>
      <c r="E78" s="218"/>
      <c r="F78"/>
      <c r="G78" s="218" t="s">
        <v>95</v>
      </c>
      <c r="H78" s="218"/>
      <c r="I78"/>
      <c r="J78" s="218" t="s">
        <v>105</v>
      </c>
      <c r="K78" s="218"/>
      <c r="L78" s="207"/>
    </row>
    <row r="79" spans="1:12" ht="14" x14ac:dyDescent="0.2">
      <c r="A79" s="20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207"/>
    </row>
    <row r="80" spans="1:12" ht="14" x14ac:dyDescent="0.2">
      <c r="A80" s="20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207"/>
    </row>
    <row r="81" spans="1:12" ht="14" x14ac:dyDescent="0.2">
      <c r="A81" s="207"/>
      <c r="B81" s="207"/>
      <c r="C81" s="207"/>
      <c r="D81" s="207"/>
      <c r="E81" s="207"/>
      <c r="F81" s="207"/>
      <c r="G81" s="207"/>
      <c r="H81" s="207"/>
      <c r="I81" s="207"/>
      <c r="J81" s="207"/>
      <c r="K81" s="207"/>
      <c r="L81" s="207"/>
    </row>
  </sheetData>
  <mergeCells count="119">
    <mergeCell ref="F44:G44"/>
    <mergeCell ref="C47:D47"/>
    <mergeCell ref="B55:K67"/>
    <mergeCell ref="E25:K25"/>
    <mergeCell ref="E26:K26"/>
    <mergeCell ref="C28:D28"/>
    <mergeCell ref="B25:D25"/>
    <mergeCell ref="B26:D26"/>
    <mergeCell ref="E49:K49"/>
    <mergeCell ref="D49:D53"/>
    <mergeCell ref="B49:C49"/>
    <mergeCell ref="F47:G47"/>
    <mergeCell ref="F38:G38"/>
    <mergeCell ref="F39:G39"/>
    <mergeCell ref="F40:G40"/>
    <mergeCell ref="F45:G45"/>
    <mergeCell ref="F46:G46"/>
    <mergeCell ref="C39:D39"/>
    <mergeCell ref="E50:K50"/>
    <mergeCell ref="E51:K51"/>
    <mergeCell ref="E52:K52"/>
    <mergeCell ref="E53:K53"/>
    <mergeCell ref="C42:D42"/>
    <mergeCell ref="F41:G41"/>
    <mergeCell ref="C45:D45"/>
    <mergeCell ref="C46:D46"/>
    <mergeCell ref="C36:D36"/>
    <mergeCell ref="C37:D37"/>
    <mergeCell ref="C38:D38"/>
    <mergeCell ref="C31:D31"/>
    <mergeCell ref="C32:D32"/>
    <mergeCell ref="C33:D33"/>
    <mergeCell ref="C34:D34"/>
    <mergeCell ref="C35:D35"/>
    <mergeCell ref="C41:D41"/>
    <mergeCell ref="C40:D40"/>
    <mergeCell ref="C44:D44"/>
    <mergeCell ref="L1:L81"/>
    <mergeCell ref="I47:J47"/>
    <mergeCell ref="I46:J46"/>
    <mergeCell ref="B2:I5"/>
    <mergeCell ref="I18:K18"/>
    <mergeCell ref="I19:K19"/>
    <mergeCell ref="I20:K20"/>
    <mergeCell ref="I21:K21"/>
    <mergeCell ref="B6:K6"/>
    <mergeCell ref="J2:K2"/>
    <mergeCell ref="B1:K1"/>
    <mergeCell ref="B7:K7"/>
    <mergeCell ref="I28:J28"/>
    <mergeCell ref="I22:K22"/>
    <mergeCell ref="I37:J37"/>
    <mergeCell ref="J76:K76"/>
    <mergeCell ref="B16:K16"/>
    <mergeCell ref="C18:G18"/>
    <mergeCell ref="C15:G15"/>
    <mergeCell ref="C10:G10"/>
    <mergeCell ref="C11:G11"/>
    <mergeCell ref="C12:G12"/>
    <mergeCell ref="C13:G13"/>
    <mergeCell ref="C14:G14"/>
    <mergeCell ref="G76:H76"/>
    <mergeCell ref="I44:J44"/>
    <mergeCell ref="A1:A81"/>
    <mergeCell ref="B78:E78"/>
    <mergeCell ref="G78:H78"/>
    <mergeCell ref="J78:K78"/>
    <mergeCell ref="B81:K81"/>
    <mergeCell ref="I38:J38"/>
    <mergeCell ref="I39:J39"/>
    <mergeCell ref="I40:J40"/>
    <mergeCell ref="I45:J45"/>
    <mergeCell ref="I32:J32"/>
    <mergeCell ref="I33:J33"/>
    <mergeCell ref="I34:J34"/>
    <mergeCell ref="B76:E76"/>
    <mergeCell ref="B77:E77"/>
    <mergeCell ref="G77:H77"/>
    <mergeCell ref="J77:K77"/>
    <mergeCell ref="C19:G19"/>
    <mergeCell ref="C20:G20"/>
    <mergeCell ref="C21:G21"/>
    <mergeCell ref="C22:G22"/>
    <mergeCell ref="B8:K8"/>
    <mergeCell ref="B9:K9"/>
    <mergeCell ref="F30:G30"/>
    <mergeCell ref="F31:G31"/>
    <mergeCell ref="B24:K24"/>
    <mergeCell ref="I29:J29"/>
    <mergeCell ref="F37:G37"/>
    <mergeCell ref="F32:G32"/>
    <mergeCell ref="F33:G33"/>
    <mergeCell ref="I36:J36"/>
    <mergeCell ref="F42:G42"/>
    <mergeCell ref="I41:J41"/>
    <mergeCell ref="B50:C50"/>
    <mergeCell ref="B17:K17"/>
    <mergeCell ref="I10:K10"/>
    <mergeCell ref="I11:K11"/>
    <mergeCell ref="I12:K12"/>
    <mergeCell ref="I13:K13"/>
    <mergeCell ref="I14:K14"/>
    <mergeCell ref="I15:K15"/>
    <mergeCell ref="B27:K27"/>
    <mergeCell ref="C29:D29"/>
    <mergeCell ref="F34:G34"/>
    <mergeCell ref="F35:G35"/>
    <mergeCell ref="F36:G36"/>
    <mergeCell ref="B23:K23"/>
    <mergeCell ref="I35:J35"/>
    <mergeCell ref="I42:J42"/>
    <mergeCell ref="C43:D43"/>
    <mergeCell ref="F43:G43"/>
    <mergeCell ref="I43:J43"/>
    <mergeCell ref="I30:J30"/>
    <mergeCell ref="I31:J31"/>
    <mergeCell ref="F28:G28"/>
    <mergeCell ref="F29:G29"/>
    <mergeCell ref="C30:D30"/>
  </mergeCells>
  <printOptions horizontalCentered="1"/>
  <pageMargins left="0.31496062992125984" right="0.31496062992125984" top="0.39370078740157483" bottom="0.39370078740157483" header="0" footer="0"/>
  <pageSetup scale="65" orientation="portrait" r:id="rId1"/>
  <ignoredErrors>
    <ignoredError sqref="G18 E18 C18" unlockedFormula="1"/>
    <ignoredError sqref="D15:G15 D10:G10 H30 F46 K4" emptyCellReference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>
    <tabColor rgb="FF00B050"/>
    <pageSetUpPr fitToPage="1"/>
  </sheetPr>
  <dimension ref="A1:M54"/>
  <sheetViews>
    <sheetView showGridLines="0" showZeros="0" view="pageBreakPreview" topLeftCell="A5" zoomScaleNormal="90" zoomScaleSheetLayoutView="70" zoomScalePageLayoutView="70" workbookViewId="0">
      <selection activeCell="C10" sqref="C10:F10"/>
    </sheetView>
  </sheetViews>
  <sheetFormatPr baseColWidth="10" defaultColWidth="11.5" defaultRowHeight="12" x14ac:dyDescent="0.15"/>
  <cols>
    <col min="1" max="1" width="1.5" style="12" customWidth="1"/>
    <col min="2" max="2" width="22" style="12" bestFit="1" customWidth="1"/>
    <col min="3" max="4" width="15.6640625" style="12" customWidth="1"/>
    <col min="5" max="5" width="2.33203125" style="12" customWidth="1"/>
    <col min="6" max="6" width="15.6640625" style="12" customWidth="1"/>
    <col min="7" max="7" width="21.6640625" style="12" bestFit="1" customWidth="1"/>
    <col min="8" max="8" width="2.33203125" style="12" customWidth="1"/>
    <col min="9" max="9" width="15.6640625" style="12" customWidth="1"/>
    <col min="10" max="10" width="27.5" style="12" customWidth="1"/>
    <col min="11" max="11" width="1.5" style="12" customWidth="1"/>
    <col min="12" max="16384" width="11.5" style="12"/>
  </cols>
  <sheetData>
    <row r="1" spans="1:13" ht="15" customHeight="1" x14ac:dyDescent="0.2">
      <c r="A1" s="207"/>
      <c r="B1" s="207"/>
      <c r="C1" s="207"/>
      <c r="D1" s="207"/>
      <c r="E1" s="207"/>
      <c r="F1" s="207"/>
      <c r="G1" s="207"/>
      <c r="H1" s="207"/>
      <c r="I1" s="207"/>
      <c r="J1" s="207"/>
      <c r="K1" s="207"/>
    </row>
    <row r="2" spans="1:13" ht="15" customHeight="1" x14ac:dyDescent="0.15">
      <c r="A2" s="207"/>
      <c r="B2" s="231"/>
      <c r="C2" s="231"/>
      <c r="D2" s="231"/>
      <c r="E2" s="231"/>
      <c r="F2" s="231"/>
      <c r="G2" s="231"/>
      <c r="H2" s="232"/>
      <c r="I2" s="242" t="s">
        <v>122</v>
      </c>
      <c r="J2" s="243"/>
      <c r="K2" s="207"/>
    </row>
    <row r="3" spans="1:13" ht="15" customHeight="1" x14ac:dyDescent="0.2">
      <c r="A3" s="207"/>
      <c r="B3" s="231"/>
      <c r="C3" s="231"/>
      <c r="D3" s="231"/>
      <c r="E3" s="231"/>
      <c r="F3" s="231"/>
      <c r="G3" s="231"/>
      <c r="H3" s="232"/>
      <c r="I3" s="50" t="s">
        <v>0</v>
      </c>
      <c r="J3" s="61">
        <f ca="1">(CAPTURA!E8)</f>
        <v>46079</v>
      </c>
      <c r="K3" s="207"/>
    </row>
    <row r="4" spans="1:13" ht="15" customHeight="1" x14ac:dyDescent="0.2">
      <c r="A4" s="207"/>
      <c r="B4" s="231"/>
      <c r="C4" s="231"/>
      <c r="D4" s="231"/>
      <c r="E4" s="231"/>
      <c r="F4" s="231"/>
      <c r="G4" s="231"/>
      <c r="H4" s="232"/>
      <c r="I4" s="50" t="s">
        <v>120</v>
      </c>
      <c r="J4" s="62">
        <f>(CAPTURA!E9)</f>
        <v>0</v>
      </c>
      <c r="K4" s="207"/>
    </row>
    <row r="5" spans="1:13" ht="15" customHeight="1" x14ac:dyDescent="0.2">
      <c r="A5" s="207"/>
      <c r="B5" s="231"/>
      <c r="C5" s="231"/>
      <c r="D5" s="231"/>
      <c r="E5" s="231"/>
      <c r="F5" s="231"/>
      <c r="G5" s="231"/>
      <c r="H5" s="232"/>
      <c r="I5" s="63"/>
      <c r="J5" s="64"/>
      <c r="K5" s="207"/>
    </row>
    <row r="6" spans="1:13" ht="5" customHeight="1" x14ac:dyDescent="0.2">
      <c r="A6" s="207"/>
      <c r="B6" s="207"/>
      <c r="C6" s="207"/>
      <c r="D6" s="207"/>
      <c r="E6" s="207"/>
      <c r="F6" s="207"/>
      <c r="G6" s="207"/>
      <c r="H6" s="207"/>
      <c r="I6" s="207"/>
      <c r="J6" s="207"/>
      <c r="K6" s="207"/>
    </row>
    <row r="7" spans="1:13" ht="32" customHeight="1" x14ac:dyDescent="0.15">
      <c r="A7" s="207"/>
      <c r="B7" s="396" t="s">
        <v>164</v>
      </c>
      <c r="C7" s="397"/>
      <c r="D7" s="397"/>
      <c r="E7" s="397"/>
      <c r="F7" s="397"/>
      <c r="G7" s="397"/>
      <c r="H7" s="397"/>
      <c r="I7" s="397"/>
      <c r="J7" s="398"/>
      <c r="K7" s="207"/>
    </row>
    <row r="8" spans="1:13" ht="5" customHeight="1" x14ac:dyDescent="0.2">
      <c r="A8" s="207"/>
      <c r="B8" s="207"/>
      <c r="C8" s="207"/>
      <c r="D8" s="207"/>
      <c r="E8" s="207"/>
      <c r="F8" s="207"/>
      <c r="G8" s="207"/>
      <c r="H8" s="207"/>
      <c r="I8" s="207"/>
      <c r="J8" s="207"/>
      <c r="K8" s="207"/>
    </row>
    <row r="9" spans="1:13" ht="15" x14ac:dyDescent="0.15">
      <c r="A9" s="207"/>
      <c r="B9" s="53" t="s">
        <v>97</v>
      </c>
      <c r="C9" s="250" t="s">
        <v>238</v>
      </c>
      <c r="D9" s="251"/>
      <c r="E9" s="251"/>
      <c r="F9" s="252"/>
      <c r="G9" s="54" t="s">
        <v>20</v>
      </c>
      <c r="H9" s="399"/>
      <c r="I9" s="400"/>
      <c r="J9" s="401"/>
      <c r="K9" s="207"/>
    </row>
    <row r="10" spans="1:13" ht="15" x14ac:dyDescent="0.15">
      <c r="A10" s="207"/>
      <c r="B10" s="55" t="s">
        <v>13</v>
      </c>
      <c r="C10" s="222" t="str">
        <f>CAPTURA!E23</f>
        <v xml:space="preserve">CALLE VENEDELLO </v>
      </c>
      <c r="D10" s="192"/>
      <c r="E10" s="192"/>
      <c r="F10" s="223"/>
      <c r="G10" s="56" t="s">
        <v>21</v>
      </c>
      <c r="H10" s="188" t="str">
        <f>CAPTURA!E30</f>
        <v>81 1753 3008</v>
      </c>
      <c r="I10" s="189"/>
      <c r="J10" s="190"/>
      <c r="K10" s="207"/>
    </row>
    <row r="11" spans="1:13" ht="15" x14ac:dyDescent="0.15">
      <c r="A11" s="207"/>
      <c r="B11" s="55" t="s">
        <v>14</v>
      </c>
      <c r="C11" s="222">
        <f>CAPTURA!E24</f>
        <v>1612</v>
      </c>
      <c r="D11" s="192"/>
      <c r="E11" s="192"/>
      <c r="F11" s="223"/>
      <c r="G11" s="56" t="s">
        <v>22</v>
      </c>
      <c r="H11" s="188"/>
      <c r="I11" s="189"/>
      <c r="J11" s="190"/>
      <c r="K11" s="207"/>
    </row>
    <row r="12" spans="1:13" ht="15" x14ac:dyDescent="0.15">
      <c r="A12" s="207"/>
      <c r="B12" s="55" t="s">
        <v>15</v>
      </c>
      <c r="C12" s="222" t="str">
        <f>CAPTURA!E25</f>
        <v>VILLAS CANTERIAS</v>
      </c>
      <c r="D12" s="192"/>
      <c r="E12" s="192"/>
      <c r="F12" s="223"/>
      <c r="G12" s="56" t="s">
        <v>23</v>
      </c>
      <c r="H12" s="395" t="str">
        <f>CAPTURA!E32</f>
        <v>amira_torres@hotmail.com</v>
      </c>
      <c r="I12" s="189"/>
      <c r="J12" s="190"/>
      <c r="K12" s="207"/>
    </row>
    <row r="13" spans="1:13" ht="15" x14ac:dyDescent="0.15">
      <c r="A13" s="207"/>
      <c r="B13" s="55" t="s">
        <v>16</v>
      </c>
      <c r="C13" s="222" t="str">
        <f>CAPTURA!E26</f>
        <v>MONTERREY</v>
      </c>
      <c r="D13" s="192"/>
      <c r="E13" s="192"/>
      <c r="F13" s="223"/>
      <c r="G13" s="56"/>
      <c r="H13" s="188"/>
      <c r="I13" s="189"/>
      <c r="J13" s="190"/>
      <c r="K13" s="207"/>
      <c r="M13" s="40"/>
    </row>
    <row r="14" spans="1:13" ht="15" x14ac:dyDescent="0.15">
      <c r="A14" s="207"/>
      <c r="B14" s="57" t="s">
        <v>17</v>
      </c>
      <c r="C14" s="222" t="str">
        <f>CAPTURA!E27</f>
        <v>NUEVO LEÓN</v>
      </c>
      <c r="D14" s="192"/>
      <c r="E14" s="192"/>
      <c r="F14" s="223"/>
      <c r="G14" s="58"/>
      <c r="H14" s="188"/>
      <c r="I14" s="189"/>
      <c r="J14" s="190"/>
      <c r="K14" s="207"/>
      <c r="M14" s="40"/>
    </row>
    <row r="15" spans="1:13" ht="15" x14ac:dyDescent="0.15">
      <c r="A15" s="207"/>
      <c r="B15" s="57" t="s">
        <v>135</v>
      </c>
      <c r="C15" s="222">
        <f>CAPTURA!E28</f>
        <v>64989</v>
      </c>
      <c r="D15" s="192"/>
      <c r="E15" s="192"/>
      <c r="F15" s="223"/>
      <c r="G15" s="58" t="s">
        <v>10</v>
      </c>
      <c r="H15" s="222" t="str">
        <f>CAPTURA!E20</f>
        <v>CASADO (A)</v>
      </c>
      <c r="I15" s="192"/>
      <c r="J15" s="193"/>
      <c r="K15" s="207"/>
      <c r="M15" s="40"/>
    </row>
    <row r="16" spans="1:13" ht="15" x14ac:dyDescent="0.15">
      <c r="A16" s="207"/>
      <c r="B16" s="57" t="s">
        <v>6</v>
      </c>
      <c r="C16" s="194" t="str">
        <f>CAPTURA!E16</f>
        <v>TOGA710207HC3</v>
      </c>
      <c r="D16" s="192"/>
      <c r="E16" s="192"/>
      <c r="F16" s="223"/>
      <c r="G16" s="58" t="s">
        <v>134</v>
      </c>
      <c r="H16" s="222" t="str">
        <f>(CAPTURA!E21)</f>
        <v>SEPARACION DE BIENES</v>
      </c>
      <c r="I16" s="192"/>
      <c r="J16" s="193"/>
      <c r="K16" s="207"/>
      <c r="M16" s="40"/>
    </row>
    <row r="17" spans="1:13" ht="15" x14ac:dyDescent="0.15">
      <c r="A17" s="207"/>
      <c r="B17" s="57" t="s">
        <v>7</v>
      </c>
      <c r="C17" s="194" t="str">
        <f>CAPTURA!E17</f>
        <v>TOOGA710207MCLRNM09</v>
      </c>
      <c r="D17" s="192"/>
      <c r="E17" s="192"/>
      <c r="F17" s="223"/>
      <c r="G17" s="58" t="s">
        <v>24</v>
      </c>
      <c r="H17" s="222" t="str">
        <f>CAPTURA!E22</f>
        <v>FINANCIERA</v>
      </c>
      <c r="I17" s="192"/>
      <c r="J17" s="193"/>
      <c r="K17" s="207"/>
      <c r="M17" s="40"/>
    </row>
    <row r="18" spans="1:13" ht="15" x14ac:dyDescent="0.15">
      <c r="A18" s="207"/>
      <c r="B18" s="57" t="s">
        <v>8</v>
      </c>
      <c r="C18" s="222" t="str">
        <f>CAPTURA!E18</f>
        <v>PIEDRAS NEGRAS, COAHUILA</v>
      </c>
      <c r="D18" s="192"/>
      <c r="E18" s="192"/>
      <c r="F18" s="223"/>
      <c r="G18" s="58"/>
      <c r="H18" s="188"/>
      <c r="I18" s="189"/>
      <c r="J18" s="190"/>
      <c r="K18" s="207"/>
      <c r="M18" s="40"/>
    </row>
    <row r="19" spans="1:13" ht="15" x14ac:dyDescent="0.15">
      <c r="A19" s="207"/>
      <c r="B19" s="57" t="s">
        <v>138</v>
      </c>
      <c r="C19" s="194">
        <f>CAPTURA!E14</f>
        <v>25971</v>
      </c>
      <c r="D19" s="192"/>
      <c r="E19" s="192"/>
      <c r="F19" s="223"/>
      <c r="G19" s="58"/>
      <c r="H19" s="188"/>
      <c r="I19" s="189"/>
      <c r="J19" s="190"/>
      <c r="K19" s="207"/>
      <c r="M19" s="40"/>
    </row>
    <row r="20" spans="1:13" ht="15" x14ac:dyDescent="0.15">
      <c r="A20" s="207"/>
      <c r="B20" s="57" t="s">
        <v>5</v>
      </c>
      <c r="C20" s="194" t="str">
        <f>CAPTURA!E15</f>
        <v>MEXICANA</v>
      </c>
      <c r="D20" s="192"/>
      <c r="E20" s="192"/>
      <c r="F20" s="223"/>
      <c r="G20" s="58"/>
      <c r="H20" s="188"/>
      <c r="I20" s="189"/>
      <c r="J20" s="190"/>
      <c r="K20" s="207"/>
      <c r="M20" s="40"/>
    </row>
    <row r="21" spans="1:13" ht="15" x14ac:dyDescent="0.15">
      <c r="A21" s="207"/>
      <c r="B21" s="59"/>
      <c r="C21" s="224"/>
      <c r="D21" s="225"/>
      <c r="E21" s="225"/>
      <c r="F21" s="226"/>
      <c r="G21" s="60"/>
      <c r="H21" s="402"/>
      <c r="I21" s="403"/>
      <c r="J21" s="404"/>
      <c r="K21" s="207"/>
      <c r="M21" s="40"/>
    </row>
    <row r="22" spans="1:13" ht="5" customHeight="1" x14ac:dyDescent="0.2">
      <c r="A22" s="207"/>
      <c r="B22" s="207"/>
      <c r="C22" s="207"/>
      <c r="D22" s="207"/>
      <c r="E22" s="207"/>
      <c r="F22" s="207"/>
      <c r="G22" s="207"/>
      <c r="H22" s="207"/>
      <c r="I22" s="207"/>
      <c r="J22" s="207"/>
      <c r="K22" s="207"/>
    </row>
    <row r="23" spans="1:13" ht="19" x14ac:dyDescent="0.15">
      <c r="A23" s="207"/>
      <c r="B23" s="185" t="s">
        <v>131</v>
      </c>
      <c r="C23" s="186"/>
      <c r="D23" s="186"/>
      <c r="E23" s="186"/>
      <c r="F23" s="186"/>
      <c r="G23" s="186"/>
      <c r="H23" s="186"/>
      <c r="I23" s="186"/>
      <c r="J23" s="187"/>
      <c r="K23" s="207"/>
    </row>
    <row r="24" spans="1:13" ht="15" x14ac:dyDescent="0.15">
      <c r="A24" s="207"/>
      <c r="B24" s="53" t="s">
        <v>99</v>
      </c>
      <c r="C24" s="414" t="str">
        <f>(CAPTURA!I17)</f>
        <v>SANTTE RESIDENCIAL</v>
      </c>
      <c r="D24" s="415"/>
      <c r="E24" s="415"/>
      <c r="F24" s="416"/>
      <c r="G24" s="54" t="s">
        <v>100</v>
      </c>
      <c r="H24" s="417">
        <f>CAPTURA!I24</f>
        <v>166.929</v>
      </c>
      <c r="I24" s="418"/>
      <c r="J24" s="419"/>
      <c r="K24" s="207"/>
    </row>
    <row r="25" spans="1:13" ht="15" x14ac:dyDescent="0.15">
      <c r="A25" s="207"/>
      <c r="B25" s="55" t="s">
        <v>75</v>
      </c>
      <c r="C25" s="222">
        <f>CAPTURA!I19</f>
        <v>45</v>
      </c>
      <c r="D25" s="192"/>
      <c r="E25" s="192"/>
      <c r="F25" s="223"/>
      <c r="G25" s="56" t="s">
        <v>101</v>
      </c>
      <c r="H25" s="236">
        <f>CAPTURA!I25</f>
        <v>12580.19876714052</v>
      </c>
      <c r="I25" s="237"/>
      <c r="J25" s="238"/>
      <c r="K25" s="207"/>
    </row>
    <row r="26" spans="1:13" ht="15" x14ac:dyDescent="0.15">
      <c r="A26" s="207"/>
      <c r="B26" s="55" t="s">
        <v>76</v>
      </c>
      <c r="C26" s="222">
        <f>CAPTURA!I20</f>
        <v>16</v>
      </c>
      <c r="D26" s="192"/>
      <c r="E26" s="192"/>
      <c r="F26" s="223"/>
      <c r="G26" s="56" t="s">
        <v>80</v>
      </c>
      <c r="H26" s="236">
        <f>CAPTURA!I26</f>
        <v>2100000</v>
      </c>
      <c r="I26" s="237"/>
      <c r="J26" s="238"/>
      <c r="K26" s="207"/>
    </row>
    <row r="27" spans="1:13" ht="15" x14ac:dyDescent="0.15">
      <c r="A27" s="207"/>
      <c r="B27" s="55" t="s">
        <v>98</v>
      </c>
      <c r="C27" s="222">
        <f>CAPTURA!I21</f>
        <v>114</v>
      </c>
      <c r="D27" s="192"/>
      <c r="E27" s="192"/>
      <c r="F27" s="223"/>
      <c r="G27" s="56" t="s">
        <v>113</v>
      </c>
      <c r="H27" s="239">
        <f>(CAPTURA!I23)</f>
        <v>0</v>
      </c>
      <c r="I27" s="240"/>
      <c r="J27" s="241"/>
      <c r="K27" s="207"/>
    </row>
    <row r="28" spans="1:13" ht="15" x14ac:dyDescent="0.15">
      <c r="A28" s="207"/>
      <c r="B28" s="59" t="s">
        <v>79</v>
      </c>
      <c r="C28" s="411" t="str">
        <f>CAPTURA!I22</f>
        <v>AZALEA</v>
      </c>
      <c r="D28" s="412"/>
      <c r="E28" s="412"/>
      <c r="F28" s="413"/>
      <c r="G28" s="60" t="s">
        <v>74</v>
      </c>
      <c r="H28" s="247" t="str">
        <f>(CAPTURA!I18)</f>
        <v>TERRENO</v>
      </c>
      <c r="I28" s="248"/>
      <c r="J28" s="249"/>
      <c r="K28" s="207"/>
    </row>
    <row r="29" spans="1:13" ht="5" customHeight="1" x14ac:dyDescent="0.2">
      <c r="A29" s="207"/>
      <c r="B29" s="207"/>
      <c r="C29" s="207"/>
      <c r="D29" s="207"/>
      <c r="E29" s="207"/>
      <c r="F29" s="207"/>
      <c r="G29" s="207"/>
      <c r="H29" s="207"/>
      <c r="I29" s="207"/>
      <c r="J29" s="207"/>
      <c r="K29" s="207"/>
    </row>
    <row r="30" spans="1:13" ht="19" x14ac:dyDescent="0.15">
      <c r="A30" s="207"/>
      <c r="B30" s="214" t="s">
        <v>136</v>
      </c>
      <c r="C30" s="215"/>
      <c r="D30" s="215"/>
      <c r="E30" s="215"/>
      <c r="F30" s="215"/>
      <c r="G30" s="215"/>
      <c r="H30" s="215"/>
      <c r="I30" s="215"/>
      <c r="J30" s="216"/>
      <c r="K30" s="207"/>
    </row>
    <row r="31" spans="1:13" ht="15" customHeight="1" x14ac:dyDescent="0.2">
      <c r="A31" s="207"/>
      <c r="B31" s="408"/>
      <c r="C31" s="409"/>
      <c r="D31" s="409"/>
      <c r="E31" s="409"/>
      <c r="F31" s="409"/>
      <c r="G31" s="409"/>
      <c r="H31" s="409"/>
      <c r="I31" s="409"/>
      <c r="J31" s="410"/>
      <c r="K31" s="207"/>
    </row>
    <row r="32" spans="1:13" ht="15" customHeight="1" x14ac:dyDescent="0.2">
      <c r="A32" s="207"/>
      <c r="B32" s="200"/>
      <c r="C32" s="201"/>
      <c r="D32" s="201"/>
      <c r="E32" s="201"/>
      <c r="F32" s="201"/>
      <c r="G32" s="201"/>
      <c r="H32" s="201"/>
      <c r="I32" s="201"/>
      <c r="J32" s="202"/>
      <c r="K32" s="207"/>
    </row>
    <row r="33" spans="1:11" ht="15" customHeight="1" x14ac:dyDescent="0.2">
      <c r="A33" s="207"/>
      <c r="B33" s="200"/>
      <c r="C33" s="201"/>
      <c r="D33" s="201"/>
      <c r="E33" s="201"/>
      <c r="F33" s="201"/>
      <c r="G33" s="201"/>
      <c r="H33" s="201"/>
      <c r="I33" s="201"/>
      <c r="J33" s="202"/>
      <c r="K33" s="207"/>
    </row>
    <row r="34" spans="1:11" ht="15" customHeight="1" x14ac:dyDescent="0.2">
      <c r="A34" s="207"/>
      <c r="B34" s="200"/>
      <c r="C34" s="201"/>
      <c r="D34" s="201"/>
      <c r="E34" s="201"/>
      <c r="F34" s="201"/>
      <c r="G34" s="201"/>
      <c r="H34" s="201"/>
      <c r="I34" s="201"/>
      <c r="J34" s="202"/>
      <c r="K34" s="207"/>
    </row>
    <row r="35" spans="1:11" ht="15" customHeight="1" x14ac:dyDescent="0.2">
      <c r="A35" s="207"/>
      <c r="B35" s="200"/>
      <c r="C35" s="201"/>
      <c r="D35" s="201"/>
      <c r="E35" s="201"/>
      <c r="F35" s="201"/>
      <c r="G35" s="201"/>
      <c r="H35" s="201"/>
      <c r="I35" s="201"/>
      <c r="J35" s="202"/>
      <c r="K35" s="207"/>
    </row>
    <row r="36" spans="1:11" ht="15" customHeight="1" x14ac:dyDescent="0.2">
      <c r="A36" s="207"/>
      <c r="B36" s="200"/>
      <c r="C36" s="201"/>
      <c r="D36" s="201"/>
      <c r="E36" s="201"/>
      <c r="F36" s="201"/>
      <c r="G36" s="201"/>
      <c r="H36" s="201"/>
      <c r="I36" s="201"/>
      <c r="J36" s="202"/>
      <c r="K36" s="207"/>
    </row>
    <row r="37" spans="1:11" ht="15" customHeight="1" x14ac:dyDescent="0.2">
      <c r="A37" s="207"/>
      <c r="B37" s="405"/>
      <c r="C37" s="406"/>
      <c r="D37" s="406"/>
      <c r="E37" s="406"/>
      <c r="F37" s="406"/>
      <c r="G37" s="406"/>
      <c r="H37" s="406"/>
      <c r="I37" s="406"/>
      <c r="J37" s="407"/>
      <c r="K37" s="207"/>
    </row>
    <row r="38" spans="1:11" ht="14" x14ac:dyDescent="0.2">
      <c r="A38" s="207"/>
      <c r="B38" s="37"/>
      <c r="C38" s="37"/>
      <c r="D38" s="37"/>
      <c r="E38" s="37"/>
      <c r="F38" s="37"/>
      <c r="G38" s="37"/>
      <c r="H38" s="37"/>
      <c r="I38" s="37"/>
      <c r="J38" s="37"/>
      <c r="K38" s="207"/>
    </row>
    <row r="39" spans="1:11" ht="14" x14ac:dyDescent="0.2">
      <c r="A39" s="207"/>
      <c r="B39" s="37"/>
      <c r="C39" s="37"/>
      <c r="D39" s="37"/>
      <c r="E39" s="37"/>
      <c r="F39" s="37"/>
      <c r="G39" s="37"/>
      <c r="H39" s="37"/>
      <c r="I39" s="37"/>
      <c r="J39" s="37"/>
      <c r="K39" s="207"/>
    </row>
    <row r="40" spans="1:11" ht="14" x14ac:dyDescent="0.2">
      <c r="A40" s="207"/>
      <c r="B40" s="37"/>
      <c r="C40" s="37"/>
      <c r="D40" s="37"/>
      <c r="E40" s="37"/>
      <c r="F40" s="37"/>
      <c r="G40" s="37"/>
      <c r="H40" s="37"/>
      <c r="I40" s="37"/>
      <c r="J40" s="37"/>
      <c r="K40" s="207"/>
    </row>
    <row r="41" spans="1:11" ht="14" x14ac:dyDescent="0.2">
      <c r="A41" s="207"/>
      <c r="B41" s="37"/>
      <c r="C41" s="37"/>
      <c r="D41" s="37"/>
      <c r="E41" s="37"/>
      <c r="F41" s="37"/>
      <c r="G41" s="37"/>
      <c r="H41" s="37"/>
      <c r="I41" s="37"/>
      <c r="J41" s="37"/>
      <c r="K41" s="207"/>
    </row>
    <row r="42" spans="1:11" ht="14" x14ac:dyDescent="0.2">
      <c r="A42" s="207"/>
      <c r="B42" s="37"/>
      <c r="C42" s="37"/>
      <c r="D42" s="37"/>
      <c r="E42" s="37"/>
      <c r="F42" s="37"/>
      <c r="G42" s="37"/>
      <c r="H42" s="37"/>
      <c r="I42" s="37"/>
      <c r="J42" s="37"/>
      <c r="K42" s="207"/>
    </row>
    <row r="43" spans="1:11" ht="14" x14ac:dyDescent="0.2">
      <c r="A43" s="207"/>
      <c r="B43" s="37"/>
      <c r="C43" s="37"/>
      <c r="D43" s="37"/>
      <c r="E43" s="37"/>
      <c r="F43" s="37"/>
      <c r="G43" s="37"/>
      <c r="H43" s="37"/>
      <c r="I43" s="37"/>
      <c r="J43" s="37"/>
      <c r="K43" s="207"/>
    </row>
    <row r="44" spans="1:11" ht="14" x14ac:dyDescent="0.2">
      <c r="A44" s="207"/>
      <c r="B44" s="37"/>
      <c r="C44" s="37"/>
      <c r="D44" s="37"/>
      <c r="E44" s="37"/>
      <c r="F44" s="37"/>
      <c r="G44" s="37"/>
      <c r="H44" s="37"/>
      <c r="I44" s="37"/>
      <c r="J44" s="37"/>
      <c r="K44" s="207"/>
    </row>
    <row r="45" spans="1:11" ht="14" x14ac:dyDescent="0.2">
      <c r="A45" s="207"/>
      <c r="B45" s="37"/>
      <c r="C45" s="37"/>
      <c r="D45" s="37"/>
      <c r="E45" s="37"/>
      <c r="F45" s="37"/>
      <c r="G45" s="37"/>
      <c r="H45" s="37"/>
      <c r="I45" s="37"/>
      <c r="J45" s="37"/>
      <c r="K45" s="207"/>
    </row>
    <row r="46" spans="1:11" ht="14" x14ac:dyDescent="0.2">
      <c r="A46" s="207"/>
      <c r="B46" s="37"/>
      <c r="C46" s="37"/>
      <c r="D46" s="37"/>
      <c r="E46" s="37"/>
      <c r="F46" s="37"/>
      <c r="G46" s="37"/>
      <c r="H46" s="37"/>
      <c r="I46" s="37"/>
      <c r="J46" s="37"/>
      <c r="K46" s="207"/>
    </row>
    <row r="47" spans="1:11" ht="14" x14ac:dyDescent="0.2">
      <c r="A47" s="207"/>
      <c r="B47" s="37"/>
      <c r="C47" s="37"/>
      <c r="D47" s="37"/>
      <c r="E47" s="37"/>
      <c r="F47" s="37"/>
      <c r="G47" s="37"/>
      <c r="H47" s="37"/>
      <c r="I47" s="37"/>
      <c r="J47" s="37"/>
      <c r="K47" s="207"/>
    </row>
    <row r="48" spans="1:11" ht="14" x14ac:dyDescent="0.2">
      <c r="A48" s="207"/>
      <c r="B48" s="37"/>
      <c r="C48" s="37"/>
      <c r="D48" s="37"/>
      <c r="E48" s="37"/>
      <c r="F48" s="37"/>
      <c r="G48" s="37"/>
      <c r="H48" s="37"/>
      <c r="I48" s="37"/>
      <c r="J48" s="37"/>
      <c r="K48" s="207"/>
    </row>
    <row r="49" spans="1:11" ht="14" x14ac:dyDescent="0.2">
      <c r="A49" s="207"/>
      <c r="B49" s="217"/>
      <c r="C49" s="217"/>
      <c r="D49" s="217"/>
      <c r="E49" s="37"/>
      <c r="F49" s="207"/>
      <c r="G49" s="207"/>
      <c r="H49" s="37"/>
      <c r="I49" s="217"/>
      <c r="J49" s="217"/>
      <c r="K49" s="207"/>
    </row>
    <row r="50" spans="1:11" s="13" customFormat="1" ht="15" x14ac:dyDescent="0.2">
      <c r="A50" s="207"/>
      <c r="B50" s="221" t="str">
        <f>C9</f>
        <v>YOLANDA VILLAREAL GARZA</v>
      </c>
      <c r="C50" s="221"/>
      <c r="D50" s="221"/>
      <c r="E50" s="65"/>
      <c r="F50" s="221"/>
      <c r="G50" s="221"/>
      <c r="H50" s="65"/>
      <c r="I50" s="221"/>
      <c r="J50" s="221"/>
      <c r="K50" s="207"/>
    </row>
    <row r="51" spans="1:11" ht="15" x14ac:dyDescent="0.2">
      <c r="A51" s="207"/>
      <c r="B51" s="218" t="s">
        <v>94</v>
      </c>
      <c r="C51" s="218"/>
      <c r="D51" s="218"/>
      <c r="E51"/>
      <c r="F51" s="218"/>
      <c r="G51" s="218"/>
      <c r="H51"/>
      <c r="I51" s="218" t="s">
        <v>69</v>
      </c>
      <c r="J51" s="218"/>
      <c r="K51" s="207"/>
    </row>
    <row r="52" spans="1:11" ht="14" x14ac:dyDescent="0.2">
      <c r="A52" s="207"/>
      <c r="B52" s="37"/>
      <c r="C52" s="37"/>
      <c r="D52" s="37"/>
      <c r="E52" s="37"/>
      <c r="F52" s="37"/>
      <c r="G52" s="37"/>
      <c r="H52" s="37"/>
      <c r="I52" s="37"/>
      <c r="J52" s="37"/>
      <c r="K52" s="207"/>
    </row>
    <row r="53" spans="1:11" ht="14" x14ac:dyDescent="0.2">
      <c r="A53" s="207"/>
      <c r="B53" s="37"/>
      <c r="C53" s="37"/>
      <c r="D53" s="37"/>
      <c r="E53" s="37"/>
      <c r="F53" s="37"/>
      <c r="G53" s="37"/>
      <c r="H53" s="37"/>
      <c r="I53" s="37"/>
      <c r="J53" s="37"/>
      <c r="K53" s="207"/>
    </row>
    <row r="54" spans="1:11" ht="14" x14ac:dyDescent="0.2">
      <c r="A54" s="207"/>
      <c r="B54" s="207"/>
      <c r="C54" s="207"/>
      <c r="D54" s="207"/>
      <c r="E54" s="207"/>
      <c r="F54" s="207"/>
      <c r="G54" s="207"/>
      <c r="H54" s="207"/>
      <c r="I54" s="207"/>
      <c r="J54" s="207"/>
      <c r="K54" s="207"/>
    </row>
  </sheetData>
  <mergeCells count="65">
    <mergeCell ref="B32:J32"/>
    <mergeCell ref="B33:J33"/>
    <mergeCell ref="B30:J30"/>
    <mergeCell ref="C24:F24"/>
    <mergeCell ref="H24:J24"/>
    <mergeCell ref="C25:F25"/>
    <mergeCell ref="H25:J25"/>
    <mergeCell ref="C26:F26"/>
    <mergeCell ref="H26:J26"/>
    <mergeCell ref="B34:J34"/>
    <mergeCell ref="C15:F15"/>
    <mergeCell ref="C14:F14"/>
    <mergeCell ref="C21:F21"/>
    <mergeCell ref="C16:F16"/>
    <mergeCell ref="H14:J14"/>
    <mergeCell ref="H15:J15"/>
    <mergeCell ref="H16:J16"/>
    <mergeCell ref="H17:J17"/>
    <mergeCell ref="H18:J18"/>
    <mergeCell ref="B31:J31"/>
    <mergeCell ref="C27:F27"/>
    <mergeCell ref="H27:J27"/>
    <mergeCell ref="C28:F28"/>
    <mergeCell ref="H28:J28"/>
    <mergeCell ref="B29:J29"/>
    <mergeCell ref="B54:J54"/>
    <mergeCell ref="B35:J35"/>
    <mergeCell ref="B36:J36"/>
    <mergeCell ref="B37:J37"/>
    <mergeCell ref="B50:D50"/>
    <mergeCell ref="F50:G50"/>
    <mergeCell ref="I50:J50"/>
    <mergeCell ref="B51:D51"/>
    <mergeCell ref="F51:G51"/>
    <mergeCell ref="I51:J51"/>
    <mergeCell ref="B49:D49"/>
    <mergeCell ref="F49:G49"/>
    <mergeCell ref="I49:J49"/>
    <mergeCell ref="C13:F13"/>
    <mergeCell ref="H13:J13"/>
    <mergeCell ref="B22:J22"/>
    <mergeCell ref="B23:J23"/>
    <mergeCell ref="C20:F20"/>
    <mergeCell ref="C19:F19"/>
    <mergeCell ref="C18:F18"/>
    <mergeCell ref="C17:F17"/>
    <mergeCell ref="H19:J19"/>
    <mergeCell ref="H20:J20"/>
    <mergeCell ref="H21:J21"/>
    <mergeCell ref="C12:F12"/>
    <mergeCell ref="H12:J12"/>
    <mergeCell ref="A1:A54"/>
    <mergeCell ref="B1:J1"/>
    <mergeCell ref="K1:K54"/>
    <mergeCell ref="B2:H5"/>
    <mergeCell ref="I2:J2"/>
    <mergeCell ref="B6:J6"/>
    <mergeCell ref="B7:J7"/>
    <mergeCell ref="B8:J8"/>
    <mergeCell ref="C9:F9"/>
    <mergeCell ref="H9:J9"/>
    <mergeCell ref="C10:F10"/>
    <mergeCell ref="H10:J10"/>
    <mergeCell ref="C11:F11"/>
    <mergeCell ref="H11:J11"/>
  </mergeCells>
  <hyperlinks>
    <hyperlink ref="H12" r:id="rId1" display="msepulveda@ecoservicios.mx" xr:uid="{B1004963-8DD1-486B-85EA-AC768310896F}"/>
  </hyperlinks>
  <pageMargins left="0.39370078740157483" right="0.39370078740157483" top="0.39370078740157483" bottom="0.39370078740157483" header="0" footer="0"/>
  <pageSetup scale="65" orientation="portrait" r:id="rId2"/>
  <ignoredErrors>
    <ignoredError sqref="C24:F24 D25:F25 D26:F26" unlockedFormula="1"/>
    <ignoredError sqref="D18:F18 H16:J16 I12:J12 D19:F19 D20:F20 D9:F9 D10:F10 D11:F11 D12:F12 D13:F13 D14:F14 D15:F15 D16:F16 D17:F17 I10:J10 I15:J15 I17:J17" unlockedFormula="1" emptyCellReference="1"/>
    <ignoredError sqref="H13:J14 J4" emptyCellReference="1"/>
  </ignoredError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4">
    <tabColor rgb="FF00B050"/>
  </sheetPr>
  <dimension ref="A1:M58"/>
  <sheetViews>
    <sheetView showGridLines="0" view="pageBreakPreview" zoomScaleNormal="90" zoomScaleSheetLayoutView="100" zoomScalePageLayoutView="90" workbookViewId="0">
      <selection activeCell="C10" sqref="C10:G10"/>
    </sheetView>
  </sheetViews>
  <sheetFormatPr baseColWidth="10" defaultRowHeight="15" x14ac:dyDescent="0.2"/>
  <cols>
    <col min="1" max="1" width="2.33203125" customWidth="1"/>
    <col min="2" max="2" width="17.5" customWidth="1"/>
    <col min="3" max="3" width="3.5" customWidth="1"/>
    <col min="4" max="4" width="24.5" customWidth="1"/>
    <col min="5" max="5" width="2.5" customWidth="1"/>
    <col min="6" max="6" width="4.6640625" customWidth="1"/>
    <col min="7" max="7" width="9.5" customWidth="1"/>
    <col min="8" max="8" width="6.33203125" customWidth="1"/>
    <col min="9" max="9" width="2.6640625" customWidth="1"/>
    <col min="10" max="10" width="7.6640625" customWidth="1"/>
    <col min="11" max="11" width="4.33203125" customWidth="1"/>
    <col min="12" max="12" width="10.6640625" customWidth="1"/>
    <col min="13" max="13" width="3.1640625" customWidth="1"/>
  </cols>
  <sheetData>
    <row r="1" spans="1:13" ht="12.75" customHeight="1" x14ac:dyDescent="0.2">
      <c r="A1" s="420"/>
      <c r="B1" s="231"/>
      <c r="C1" s="231"/>
      <c r="D1" s="231"/>
      <c r="E1" s="231"/>
      <c r="F1" s="231"/>
      <c r="G1" s="231"/>
      <c r="H1" s="231"/>
      <c r="I1" s="231"/>
      <c r="J1" s="437" t="s">
        <v>121</v>
      </c>
      <c r="K1" s="437"/>
      <c r="L1" s="437"/>
      <c r="M1" s="420"/>
    </row>
    <row r="2" spans="1:13" ht="12.75" customHeight="1" x14ac:dyDescent="0.2">
      <c r="A2" s="420"/>
      <c r="B2" s="231"/>
      <c r="C2" s="231"/>
      <c r="D2" s="231"/>
      <c r="E2" s="231"/>
      <c r="F2" s="231"/>
      <c r="G2" s="231"/>
      <c r="H2" s="231"/>
      <c r="I2" s="231"/>
      <c r="J2" s="437"/>
      <c r="K2" s="437"/>
      <c r="L2" s="437"/>
      <c r="M2" s="420"/>
    </row>
    <row r="3" spans="1:13" ht="12.75" customHeight="1" x14ac:dyDescent="0.2">
      <c r="A3" s="420"/>
      <c r="B3" s="231"/>
      <c r="C3" s="231"/>
      <c r="D3" s="231"/>
      <c r="E3" s="231"/>
      <c r="F3" s="231"/>
      <c r="G3" s="231"/>
      <c r="H3" s="231"/>
      <c r="I3" s="231"/>
      <c r="J3" s="437"/>
      <c r="K3" s="437"/>
      <c r="L3" s="437"/>
      <c r="M3" s="420"/>
    </row>
    <row r="4" spans="1:13" ht="12.75" customHeight="1" x14ac:dyDescent="0.2">
      <c r="A4" s="420"/>
      <c r="B4" s="231"/>
      <c r="C4" s="231"/>
      <c r="D4" s="231"/>
      <c r="E4" s="231"/>
      <c r="F4" s="231"/>
      <c r="G4" s="231"/>
      <c r="H4" s="231"/>
      <c r="I4" s="231"/>
      <c r="J4" s="437"/>
      <c r="K4" s="437"/>
      <c r="L4" s="437"/>
      <c r="M4" s="420"/>
    </row>
    <row r="5" spans="1:13" ht="12.75" customHeight="1" x14ac:dyDescent="0.2">
      <c r="A5" s="420"/>
      <c r="B5" s="420"/>
      <c r="C5" s="420"/>
      <c r="D5" s="420"/>
      <c r="E5" s="420"/>
      <c r="F5" s="420"/>
      <c r="G5" s="420"/>
      <c r="H5" s="420"/>
      <c r="I5" s="420"/>
      <c r="J5" s="420"/>
      <c r="K5" s="420"/>
      <c r="L5" s="420"/>
      <c r="M5" s="420"/>
    </row>
    <row r="6" spans="1:13" ht="12.75" customHeight="1" x14ac:dyDescent="0.2">
      <c r="A6" s="420"/>
      <c r="B6" s="41" t="s">
        <v>0</v>
      </c>
      <c r="C6" s="431">
        <f ca="1">(CAPTURA!E8)</f>
        <v>46079</v>
      </c>
      <c r="D6" s="422"/>
      <c r="E6" s="42"/>
      <c r="F6" s="432" t="s">
        <v>122</v>
      </c>
      <c r="G6" s="432"/>
      <c r="H6" s="432"/>
      <c r="I6" s="432"/>
      <c r="J6" s="432"/>
      <c r="K6" s="432"/>
      <c r="L6" s="432"/>
      <c r="M6" s="420"/>
    </row>
    <row r="7" spans="1:13" ht="8" customHeight="1" x14ac:dyDescent="0.2">
      <c r="A7" s="420"/>
      <c r="B7" s="420"/>
      <c r="C7" s="420"/>
      <c r="D7" s="420"/>
      <c r="E7" s="420"/>
      <c r="F7" s="420"/>
      <c r="G7" s="420"/>
      <c r="H7" s="420"/>
      <c r="I7" s="420"/>
      <c r="J7" s="420"/>
      <c r="K7" s="420"/>
      <c r="L7" s="420"/>
      <c r="M7" s="420"/>
    </row>
    <row r="8" spans="1:13" ht="12.75" customHeight="1" x14ac:dyDescent="0.2">
      <c r="A8" s="420"/>
      <c r="B8" s="41" t="s">
        <v>99</v>
      </c>
      <c r="C8" s="422" t="str">
        <f>(CAPTURA!I17)</f>
        <v>SANTTE RESIDENCIAL</v>
      </c>
      <c r="D8" s="422"/>
      <c r="E8" s="42"/>
      <c r="F8" s="41" t="s">
        <v>107</v>
      </c>
      <c r="G8" s="43">
        <f>(CAPTURA!I19)</f>
        <v>45</v>
      </c>
      <c r="H8" s="41" t="s">
        <v>76</v>
      </c>
      <c r="I8" s="433">
        <f>(CAPTURA!I20)</f>
        <v>16</v>
      </c>
      <c r="J8" s="433"/>
      <c r="K8" s="41" t="s">
        <v>108</v>
      </c>
      <c r="L8" s="43">
        <f>(CAPTURA!I21)</f>
        <v>114</v>
      </c>
      <c r="M8" s="420"/>
    </row>
    <row r="9" spans="1:13" ht="8" customHeight="1" x14ac:dyDescent="0.2">
      <c r="A9" s="420"/>
      <c r="B9" s="420"/>
      <c r="C9" s="420"/>
      <c r="D9" s="420"/>
      <c r="E9" s="420"/>
      <c r="F9" s="420"/>
      <c r="G9" s="420"/>
      <c r="H9" s="420"/>
      <c r="I9" s="420"/>
      <c r="J9" s="420"/>
      <c r="K9" s="420"/>
      <c r="L9" s="420"/>
      <c r="M9" s="420"/>
    </row>
    <row r="10" spans="1:13" ht="12.75" customHeight="1" x14ac:dyDescent="0.2">
      <c r="A10" s="420"/>
      <c r="B10" s="41" t="s">
        <v>109</v>
      </c>
      <c r="C10" s="422" t="str">
        <f>CONCATENATE(CAPTURA!E11, " ",CAPTURA!E12, " ", CAPTURA!E13)</f>
        <v>AMIRA IRACEMA TORRES GONZALEZ</v>
      </c>
      <c r="D10" s="422"/>
      <c r="E10" s="422"/>
      <c r="F10" s="422"/>
      <c r="G10" s="422"/>
      <c r="H10" s="41" t="s">
        <v>110</v>
      </c>
      <c r="I10" s="434">
        <f>(CAPTURA!I24)</f>
        <v>166.929</v>
      </c>
      <c r="J10" s="422"/>
      <c r="K10" s="422"/>
      <c r="L10" s="422"/>
      <c r="M10" s="420"/>
    </row>
    <row r="11" spans="1:13" ht="8" customHeight="1" x14ac:dyDescent="0.2">
      <c r="A11" s="420"/>
      <c r="B11" s="420"/>
      <c r="C11" s="420"/>
      <c r="D11" s="420"/>
      <c r="E11" s="420"/>
      <c r="F11" s="420"/>
      <c r="G11" s="420"/>
      <c r="H11" s="420"/>
      <c r="I11" s="420"/>
      <c r="J11" s="420"/>
      <c r="K11" s="420"/>
      <c r="L11" s="420"/>
      <c r="M11" s="420"/>
    </row>
    <row r="12" spans="1:13" ht="12.75" customHeight="1" x14ac:dyDescent="0.2">
      <c r="A12" s="420"/>
      <c r="B12" s="37" t="s">
        <v>6</v>
      </c>
      <c r="C12" s="422" t="str">
        <f>(CAPTURA!E16)</f>
        <v>TOGA710207HC3</v>
      </c>
      <c r="D12" s="422"/>
      <c r="E12" s="422"/>
      <c r="F12" s="422"/>
      <c r="G12" s="422"/>
      <c r="H12" s="422"/>
      <c r="I12" s="422"/>
      <c r="J12" s="422"/>
      <c r="K12" s="422"/>
      <c r="L12" s="422"/>
      <c r="M12" s="420"/>
    </row>
    <row r="13" spans="1:13" ht="8" customHeight="1" x14ac:dyDescent="0.2">
      <c r="A13" s="420"/>
      <c r="B13" s="420"/>
      <c r="C13" s="420"/>
      <c r="D13" s="420"/>
      <c r="E13" s="420"/>
      <c r="F13" s="420"/>
      <c r="G13" s="420"/>
      <c r="H13" s="420"/>
      <c r="I13" s="420"/>
      <c r="J13" s="420"/>
      <c r="K13" s="420"/>
      <c r="L13" s="420"/>
      <c r="M13" s="420"/>
    </row>
    <row r="14" spans="1:13" x14ac:dyDescent="0.2">
      <c r="A14" s="420"/>
      <c r="B14" s="41" t="s">
        <v>111</v>
      </c>
      <c r="C14" s="421">
        <f>(CAPTURA!I26)</f>
        <v>2100000</v>
      </c>
      <c r="D14" s="421"/>
      <c r="E14" s="42"/>
      <c r="F14" s="435" t="s">
        <v>112</v>
      </c>
      <c r="G14" s="435"/>
      <c r="H14" s="435"/>
      <c r="I14" s="421">
        <f>(CAPTURA!I25)</f>
        <v>12580.19876714052</v>
      </c>
      <c r="J14" s="421"/>
      <c r="K14" s="421"/>
      <c r="L14" s="421"/>
      <c r="M14" s="420"/>
    </row>
    <row r="15" spans="1:13" ht="8" customHeight="1" x14ac:dyDescent="0.2">
      <c r="A15" s="420"/>
      <c r="B15" s="420"/>
      <c r="C15" s="420"/>
      <c r="D15" s="420"/>
      <c r="E15" s="420"/>
      <c r="F15" s="420"/>
      <c r="G15" s="420"/>
      <c r="H15" s="420"/>
      <c r="I15" s="420"/>
      <c r="J15" s="420"/>
      <c r="K15" s="420"/>
      <c r="L15" s="420"/>
      <c r="M15" s="420"/>
    </row>
    <row r="16" spans="1:13" ht="12.75" customHeight="1" x14ac:dyDescent="0.2">
      <c r="A16" s="420"/>
      <c r="B16" s="41" t="s">
        <v>113</v>
      </c>
      <c r="C16" s="422">
        <f>(CAPTURA!I23)</f>
        <v>0</v>
      </c>
      <c r="D16" s="422"/>
      <c r="E16" s="44"/>
      <c r="F16" s="435" t="s">
        <v>74</v>
      </c>
      <c r="G16" s="435"/>
      <c r="H16" s="435"/>
      <c r="I16" s="422" t="str">
        <f>(CAPTURA!I18)</f>
        <v>TERRENO</v>
      </c>
      <c r="J16" s="422"/>
      <c r="K16" s="422"/>
      <c r="L16" s="422"/>
      <c r="M16" s="420"/>
    </row>
    <row r="17" spans="1:13" ht="8" customHeight="1" x14ac:dyDescent="0.2">
      <c r="A17" s="420"/>
      <c r="B17" s="420"/>
      <c r="C17" s="420"/>
      <c r="D17" s="420"/>
      <c r="E17" s="420"/>
      <c r="F17" s="420"/>
      <c r="G17" s="420"/>
      <c r="H17" s="420"/>
      <c r="I17" s="420"/>
      <c r="J17" s="420"/>
      <c r="K17" s="420"/>
      <c r="L17" s="420"/>
      <c r="M17" s="420"/>
    </row>
    <row r="18" spans="1:13" ht="12.75" customHeight="1" x14ac:dyDescent="0.2">
      <c r="A18" s="420"/>
      <c r="B18" s="41" t="s">
        <v>114</v>
      </c>
      <c r="C18" s="422" t="s">
        <v>88</v>
      </c>
      <c r="D18" s="422"/>
      <c r="E18" s="44"/>
      <c r="F18" s="435" t="s">
        <v>115</v>
      </c>
      <c r="G18" s="435"/>
      <c r="H18" s="435"/>
      <c r="I18" s="423">
        <f>(CAPTURA!I30)</f>
        <v>0</v>
      </c>
      <c r="J18" s="422"/>
      <c r="K18" s="422"/>
      <c r="L18" s="422"/>
      <c r="M18" s="420"/>
    </row>
    <row r="19" spans="1:13" ht="8" customHeight="1" x14ac:dyDescent="0.2">
      <c r="A19" s="420"/>
      <c r="B19" s="420"/>
      <c r="C19" s="420"/>
      <c r="D19" s="420"/>
      <c r="E19" s="420"/>
      <c r="F19" s="420"/>
      <c r="G19" s="420"/>
      <c r="H19" s="420"/>
      <c r="I19" s="420"/>
      <c r="J19" s="420"/>
      <c r="K19" s="420"/>
      <c r="L19" s="420"/>
      <c r="M19" s="420"/>
    </row>
    <row r="20" spans="1:13" ht="12.75" customHeight="1" x14ac:dyDescent="0.2">
      <c r="A20" s="420"/>
      <c r="B20" s="41" t="s">
        <v>116</v>
      </c>
      <c r="C20" s="420"/>
      <c r="D20" s="420"/>
      <c r="E20" s="420"/>
      <c r="F20" s="420"/>
      <c r="G20" s="420"/>
      <c r="H20" s="420"/>
      <c r="I20" s="420"/>
      <c r="J20" s="420"/>
      <c r="K20" s="420"/>
      <c r="L20" s="420"/>
      <c r="M20" s="420"/>
    </row>
    <row r="21" spans="1:13" ht="12.75" customHeight="1" x14ac:dyDescent="0.2">
      <c r="A21" s="420"/>
      <c r="B21" s="426" t="s">
        <v>117</v>
      </c>
      <c r="C21" s="426"/>
      <c r="D21" s="426"/>
      <c r="E21" s="426"/>
      <c r="F21" s="426"/>
      <c r="G21" s="426"/>
      <c r="H21" s="426"/>
      <c r="I21" s="426"/>
      <c r="J21" s="426"/>
      <c r="K21" s="426"/>
      <c r="L21" s="426"/>
      <c r="M21" s="420"/>
    </row>
    <row r="22" spans="1:13" ht="12.75" customHeight="1" x14ac:dyDescent="0.2">
      <c r="A22" s="420"/>
      <c r="B22" s="426"/>
      <c r="C22" s="426"/>
      <c r="D22" s="426"/>
      <c r="E22" s="426"/>
      <c r="F22" s="426"/>
      <c r="G22" s="426"/>
      <c r="H22" s="426"/>
      <c r="I22" s="426"/>
      <c r="J22" s="426"/>
      <c r="K22" s="426"/>
      <c r="L22" s="426"/>
      <c r="M22" s="420"/>
    </row>
    <row r="23" spans="1:13" ht="12.75" customHeight="1" x14ac:dyDescent="0.2">
      <c r="A23" s="420"/>
      <c r="B23" s="441"/>
      <c r="C23" s="441"/>
      <c r="D23" s="441"/>
      <c r="E23" s="441"/>
      <c r="F23" s="441"/>
      <c r="G23" s="441"/>
      <c r="H23" s="441"/>
      <c r="I23" s="441"/>
      <c r="J23" s="441"/>
      <c r="K23" s="441"/>
      <c r="L23" s="441"/>
      <c r="M23" s="420"/>
    </row>
    <row r="24" spans="1:13" ht="12.75" customHeight="1" x14ac:dyDescent="0.2">
      <c r="A24" s="420"/>
      <c r="B24" s="436"/>
      <c r="C24" s="436"/>
      <c r="D24" s="436"/>
      <c r="E24" s="436"/>
      <c r="F24" s="436"/>
      <c r="G24" s="436"/>
      <c r="H24" s="436"/>
      <c r="I24" s="436"/>
      <c r="J24" s="436"/>
      <c r="K24" s="436"/>
      <c r="L24" s="436"/>
      <c r="M24" s="420"/>
    </row>
    <row r="25" spans="1:13" x14ac:dyDescent="0.2">
      <c r="A25" s="420"/>
      <c r="B25" s="420"/>
      <c r="C25" s="420"/>
      <c r="D25" s="420"/>
      <c r="E25" s="420"/>
      <c r="F25" s="420"/>
      <c r="G25" s="420"/>
      <c r="H25" s="420"/>
      <c r="I25" s="420"/>
      <c r="J25" s="420"/>
      <c r="K25" s="420"/>
      <c r="L25" s="420"/>
      <c r="M25" s="420"/>
    </row>
    <row r="26" spans="1:13" x14ac:dyDescent="0.2">
      <c r="A26" s="420"/>
      <c r="B26" s="420"/>
      <c r="C26" s="420"/>
      <c r="D26" s="439"/>
      <c r="E26" s="420"/>
      <c r="F26" s="439"/>
      <c r="G26" s="439"/>
      <c r="H26" s="439"/>
      <c r="I26" s="420"/>
      <c r="J26" s="439"/>
      <c r="K26" s="439"/>
      <c r="L26" s="439"/>
      <c r="M26" s="420"/>
    </row>
    <row r="27" spans="1:13" ht="12.75" customHeight="1" x14ac:dyDescent="0.2">
      <c r="A27" s="420"/>
      <c r="B27" s="45"/>
      <c r="C27" s="420"/>
      <c r="D27" s="85" t="s">
        <v>123</v>
      </c>
      <c r="E27" s="420"/>
      <c r="F27" s="430" t="s">
        <v>144</v>
      </c>
      <c r="G27" s="430"/>
      <c r="H27" s="430"/>
      <c r="I27" s="420"/>
      <c r="J27" s="430" t="s">
        <v>143</v>
      </c>
      <c r="K27" s="430"/>
      <c r="L27" s="430"/>
      <c r="M27" s="420"/>
    </row>
    <row r="28" spans="1:13" x14ac:dyDescent="0.2">
      <c r="A28" s="420"/>
      <c r="B28" s="38"/>
      <c r="C28" s="420"/>
      <c r="D28" s="46" t="s">
        <v>118</v>
      </c>
      <c r="E28" s="420"/>
      <c r="F28" s="424" t="s">
        <v>95</v>
      </c>
      <c r="G28" s="424"/>
      <c r="H28" s="424"/>
      <c r="I28" s="420"/>
      <c r="J28" s="440" t="s">
        <v>96</v>
      </c>
      <c r="K28" s="440"/>
      <c r="L28" s="440"/>
      <c r="M28" s="420"/>
    </row>
    <row r="29" spans="1:13" ht="12.75" customHeight="1" x14ac:dyDescent="0.2">
      <c r="A29" s="420"/>
      <c r="B29" s="420"/>
      <c r="C29" s="420"/>
      <c r="D29" s="420"/>
      <c r="E29" s="420"/>
      <c r="F29" s="420"/>
      <c r="G29" s="420"/>
      <c r="H29" s="420"/>
      <c r="I29" s="420"/>
      <c r="J29" s="420"/>
      <c r="K29" s="420"/>
      <c r="L29" s="420"/>
      <c r="M29" s="420"/>
    </row>
    <row r="30" spans="1:13" ht="12.75" customHeight="1" x14ac:dyDescent="0.2">
      <c r="A30" s="420"/>
      <c r="B30" s="231"/>
      <c r="C30" s="231"/>
      <c r="D30" s="231"/>
      <c r="E30" s="231"/>
      <c r="F30" s="231"/>
      <c r="G30" s="231"/>
      <c r="H30" s="231"/>
      <c r="I30" s="231"/>
      <c r="J30" s="437" t="s">
        <v>121</v>
      </c>
      <c r="K30" s="437"/>
      <c r="L30" s="437"/>
      <c r="M30" s="420"/>
    </row>
    <row r="31" spans="1:13" ht="12.75" customHeight="1" x14ac:dyDescent="0.2">
      <c r="A31" s="420"/>
      <c r="B31" s="231"/>
      <c r="C31" s="231"/>
      <c r="D31" s="231"/>
      <c r="E31" s="231"/>
      <c r="F31" s="231"/>
      <c r="G31" s="231"/>
      <c r="H31" s="231"/>
      <c r="I31" s="231"/>
      <c r="J31" s="437"/>
      <c r="K31" s="437"/>
      <c r="L31" s="437"/>
      <c r="M31" s="420"/>
    </row>
    <row r="32" spans="1:13" ht="12.75" customHeight="1" x14ac:dyDescent="0.2">
      <c r="A32" s="420"/>
      <c r="B32" s="231"/>
      <c r="C32" s="231"/>
      <c r="D32" s="231"/>
      <c r="E32" s="231"/>
      <c r="F32" s="231"/>
      <c r="G32" s="231"/>
      <c r="H32" s="231"/>
      <c r="I32" s="231"/>
      <c r="J32" s="437"/>
      <c r="K32" s="437"/>
      <c r="L32" s="437"/>
      <c r="M32" s="420"/>
    </row>
    <row r="33" spans="1:13" ht="12.75" customHeight="1" x14ac:dyDescent="0.2">
      <c r="A33" s="420"/>
      <c r="B33" s="231"/>
      <c r="C33" s="231"/>
      <c r="D33" s="231"/>
      <c r="E33" s="231"/>
      <c r="F33" s="231"/>
      <c r="G33" s="231"/>
      <c r="H33" s="231"/>
      <c r="I33" s="231"/>
      <c r="J33" s="437"/>
      <c r="K33" s="437"/>
      <c r="L33" s="437"/>
      <c r="M33" s="420"/>
    </row>
    <row r="34" spans="1:13" ht="12.75" customHeight="1" x14ac:dyDescent="0.2">
      <c r="A34" s="420"/>
      <c r="B34" s="420"/>
      <c r="C34" s="420"/>
      <c r="D34" s="420"/>
      <c r="E34" s="420"/>
      <c r="F34" s="420"/>
      <c r="G34" s="420"/>
      <c r="H34" s="420"/>
      <c r="I34" s="420"/>
      <c r="J34" s="420"/>
      <c r="K34" s="420"/>
      <c r="L34" s="420"/>
      <c r="M34" s="420"/>
    </row>
    <row r="35" spans="1:13" ht="12.75" customHeight="1" x14ac:dyDescent="0.2">
      <c r="A35" s="420"/>
      <c r="B35" s="41" t="s">
        <v>0</v>
      </c>
      <c r="C35" s="431">
        <f ca="1">(CAPTURA!E8)</f>
        <v>46079</v>
      </c>
      <c r="D35" s="422"/>
      <c r="E35" s="42"/>
      <c r="F35" s="432" t="s">
        <v>122</v>
      </c>
      <c r="G35" s="432"/>
      <c r="H35" s="432"/>
      <c r="I35" s="432"/>
      <c r="J35" s="432"/>
      <c r="K35" s="432"/>
      <c r="L35" s="432"/>
      <c r="M35" s="420"/>
    </row>
    <row r="36" spans="1:13" ht="8" customHeight="1" x14ac:dyDescent="0.2">
      <c r="A36" s="420"/>
      <c r="B36" s="420"/>
      <c r="C36" s="420"/>
      <c r="D36" s="420"/>
      <c r="E36" s="420"/>
      <c r="F36" s="420"/>
      <c r="G36" s="420"/>
      <c r="H36" s="420"/>
      <c r="I36" s="420"/>
      <c r="J36" s="420"/>
      <c r="K36" s="420"/>
      <c r="L36" s="420"/>
      <c r="M36" s="420"/>
    </row>
    <row r="37" spans="1:13" ht="12.75" customHeight="1" x14ac:dyDescent="0.2">
      <c r="A37" s="420"/>
      <c r="B37" s="41" t="s">
        <v>99</v>
      </c>
      <c r="C37" s="422" t="str">
        <f>(CAPTURA!I17)</f>
        <v>SANTTE RESIDENCIAL</v>
      </c>
      <c r="D37" s="422"/>
      <c r="E37" s="42"/>
      <c r="F37" s="41" t="s">
        <v>107</v>
      </c>
      <c r="G37" s="43">
        <f>(CAPTURA!I19)</f>
        <v>45</v>
      </c>
      <c r="H37" s="41" t="s">
        <v>76</v>
      </c>
      <c r="I37" s="433">
        <f>(CAPTURA!I20)</f>
        <v>16</v>
      </c>
      <c r="J37" s="433"/>
      <c r="K37" s="41" t="s">
        <v>108</v>
      </c>
      <c r="L37" s="43">
        <f>(CAPTURA!I21)</f>
        <v>114</v>
      </c>
      <c r="M37" s="420"/>
    </row>
    <row r="38" spans="1:13" ht="8" customHeight="1" x14ac:dyDescent="0.2">
      <c r="A38" s="420"/>
      <c r="B38" s="420"/>
      <c r="C38" s="420"/>
      <c r="D38" s="420"/>
      <c r="E38" s="420"/>
      <c r="F38" s="420"/>
      <c r="G38" s="420"/>
      <c r="H38" s="420"/>
      <c r="I38" s="420"/>
      <c r="J38" s="420"/>
      <c r="K38" s="420"/>
      <c r="L38" s="420"/>
      <c r="M38" s="420"/>
    </row>
    <row r="39" spans="1:13" ht="12.75" customHeight="1" x14ac:dyDescent="0.2">
      <c r="A39" s="420"/>
      <c r="B39" s="41" t="s">
        <v>109</v>
      </c>
      <c r="C39" s="422" t="str">
        <f>CONCATENATE(CAPTURA!E11, " ",CAPTURA!E12, " ", CAPTURA!E13)</f>
        <v>AMIRA IRACEMA TORRES GONZALEZ</v>
      </c>
      <c r="D39" s="422"/>
      <c r="E39" s="422"/>
      <c r="F39" s="422"/>
      <c r="G39" s="422"/>
      <c r="H39" s="41" t="s">
        <v>110</v>
      </c>
      <c r="I39" s="434">
        <f>(CAPTURA!I24)</f>
        <v>166.929</v>
      </c>
      <c r="J39" s="422"/>
      <c r="K39" s="422"/>
      <c r="L39" s="422"/>
      <c r="M39" s="420"/>
    </row>
    <row r="40" spans="1:13" ht="8" customHeight="1" x14ac:dyDescent="0.2">
      <c r="A40" s="420"/>
      <c r="B40" s="420"/>
      <c r="C40" s="420"/>
      <c r="D40" s="420"/>
      <c r="E40" s="420"/>
      <c r="F40" s="420"/>
      <c r="G40" s="420"/>
      <c r="H40" s="420"/>
      <c r="I40" s="420"/>
      <c r="J40" s="420"/>
      <c r="K40" s="420"/>
      <c r="L40" s="420"/>
      <c r="M40" s="420"/>
    </row>
    <row r="41" spans="1:13" ht="12.75" customHeight="1" x14ac:dyDescent="0.2">
      <c r="A41" s="420"/>
      <c r="B41" s="37" t="s">
        <v>6</v>
      </c>
      <c r="C41" s="422" t="str">
        <f>(CAPTURA!E16)</f>
        <v>TOGA710207HC3</v>
      </c>
      <c r="D41" s="422"/>
      <c r="E41" s="422"/>
      <c r="F41" s="422"/>
      <c r="G41" s="422"/>
      <c r="H41" s="422"/>
      <c r="I41" s="422"/>
      <c r="J41" s="422"/>
      <c r="K41" s="422"/>
      <c r="L41" s="422"/>
      <c r="M41" s="420"/>
    </row>
    <row r="42" spans="1:13" ht="8" customHeight="1" x14ac:dyDescent="0.2">
      <c r="A42" s="420"/>
      <c r="B42" s="420"/>
      <c r="C42" s="420"/>
      <c r="D42" s="420"/>
      <c r="E42" s="420"/>
      <c r="F42" s="420"/>
      <c r="G42" s="420"/>
      <c r="H42" s="420"/>
      <c r="I42" s="420"/>
      <c r="J42" s="420"/>
      <c r="K42" s="420"/>
      <c r="L42" s="420"/>
      <c r="M42" s="420"/>
    </row>
    <row r="43" spans="1:13" ht="12.75" customHeight="1" x14ac:dyDescent="0.2">
      <c r="A43" s="420"/>
      <c r="B43" s="41" t="s">
        <v>111</v>
      </c>
      <c r="C43" s="421">
        <f>(CAPTURA!I26)</f>
        <v>2100000</v>
      </c>
      <c r="D43" s="421"/>
      <c r="E43" s="42"/>
      <c r="F43" s="435" t="s">
        <v>112</v>
      </c>
      <c r="G43" s="435"/>
      <c r="H43" s="435"/>
      <c r="I43" s="421">
        <f>(CAPTURA!I25)</f>
        <v>12580.19876714052</v>
      </c>
      <c r="J43" s="421"/>
      <c r="K43" s="421"/>
      <c r="L43" s="421"/>
      <c r="M43" s="420"/>
    </row>
    <row r="44" spans="1:13" ht="8" customHeight="1" x14ac:dyDescent="0.2">
      <c r="A44" s="420"/>
      <c r="B44" s="420"/>
      <c r="C44" s="420"/>
      <c r="D44" s="420"/>
      <c r="E44" s="420"/>
      <c r="F44" s="420"/>
      <c r="G44" s="420"/>
      <c r="H44" s="420"/>
      <c r="I44" s="420"/>
      <c r="J44" s="420"/>
      <c r="K44" s="420"/>
      <c r="L44" s="420"/>
      <c r="M44" s="420"/>
    </row>
    <row r="45" spans="1:13" ht="12.75" customHeight="1" x14ac:dyDescent="0.2">
      <c r="A45" s="420"/>
      <c r="B45" s="41" t="s">
        <v>113</v>
      </c>
      <c r="C45" s="422">
        <f>(CAPTURA!I23)</f>
        <v>0</v>
      </c>
      <c r="D45" s="422"/>
      <c r="E45" s="44"/>
      <c r="F45" s="435" t="s">
        <v>74</v>
      </c>
      <c r="G45" s="435"/>
      <c r="H45" s="435"/>
      <c r="I45" s="422" t="str">
        <f>(CAPTURA!I18)</f>
        <v>TERRENO</v>
      </c>
      <c r="J45" s="422"/>
      <c r="K45" s="422"/>
      <c r="L45" s="422"/>
      <c r="M45" s="420"/>
    </row>
    <row r="46" spans="1:13" ht="8" customHeight="1" x14ac:dyDescent="0.2">
      <c r="A46" s="420"/>
      <c r="B46" s="438"/>
      <c r="C46" s="438"/>
      <c r="D46" s="438"/>
      <c r="E46" s="438"/>
      <c r="F46" s="438"/>
      <c r="G46" s="438"/>
      <c r="H46" s="438"/>
      <c r="I46" s="438"/>
      <c r="J46" s="438"/>
      <c r="K46" s="438"/>
      <c r="L46" s="438"/>
      <c r="M46" s="420"/>
    </row>
    <row r="47" spans="1:13" ht="12.75" customHeight="1" x14ac:dyDescent="0.2">
      <c r="A47" s="420"/>
      <c r="B47" s="41" t="s">
        <v>114</v>
      </c>
      <c r="C47" s="422" t="s">
        <v>88</v>
      </c>
      <c r="D47" s="422"/>
      <c r="E47" s="44"/>
      <c r="F47" s="435" t="s">
        <v>115</v>
      </c>
      <c r="G47" s="435"/>
      <c r="H47" s="435"/>
      <c r="I47" s="423">
        <f>(CAPTURA!I30)</f>
        <v>0</v>
      </c>
      <c r="J47" s="422"/>
      <c r="K47" s="422"/>
      <c r="L47" s="422"/>
      <c r="M47" s="420"/>
    </row>
    <row r="48" spans="1:13" ht="8" customHeight="1" x14ac:dyDescent="0.2">
      <c r="A48" s="420"/>
      <c r="B48" s="420"/>
      <c r="C48" s="420"/>
      <c r="D48" s="420"/>
      <c r="E48" s="420"/>
      <c r="F48" s="420"/>
      <c r="G48" s="420"/>
      <c r="H48" s="420"/>
      <c r="I48" s="420"/>
      <c r="J48" s="420"/>
      <c r="K48" s="420"/>
      <c r="L48" s="420"/>
      <c r="M48" s="420"/>
    </row>
    <row r="49" spans="1:13" ht="12.75" customHeight="1" x14ac:dyDescent="0.2">
      <c r="A49" s="420"/>
      <c r="B49" s="41" t="s">
        <v>116</v>
      </c>
      <c r="C49" s="420"/>
      <c r="D49" s="420"/>
      <c r="E49" s="420"/>
      <c r="F49" s="420"/>
      <c r="G49" s="420"/>
      <c r="H49" s="420"/>
      <c r="I49" s="420"/>
      <c r="J49" s="420"/>
      <c r="K49" s="420"/>
      <c r="L49" s="420"/>
      <c r="M49" s="420"/>
    </row>
    <row r="50" spans="1:13" ht="12.75" customHeight="1" x14ac:dyDescent="0.2">
      <c r="A50" s="420"/>
      <c r="B50" s="426" t="s">
        <v>117</v>
      </c>
      <c r="C50" s="426"/>
      <c r="D50" s="426"/>
      <c r="E50" s="426"/>
      <c r="F50" s="426"/>
      <c r="G50" s="426"/>
      <c r="H50" s="426"/>
      <c r="I50" s="426"/>
      <c r="J50" s="426"/>
      <c r="K50" s="426"/>
      <c r="L50" s="426"/>
      <c r="M50" s="420"/>
    </row>
    <row r="51" spans="1:13" ht="12.75" customHeight="1" x14ac:dyDescent="0.2">
      <c r="A51" s="420"/>
      <c r="B51" s="426"/>
      <c r="C51" s="426"/>
      <c r="D51" s="426"/>
      <c r="E51" s="426"/>
      <c r="F51" s="426"/>
      <c r="G51" s="426"/>
      <c r="H51" s="426"/>
      <c r="I51" s="426"/>
      <c r="J51" s="426"/>
      <c r="K51" s="426"/>
      <c r="L51" s="426"/>
      <c r="M51" s="420"/>
    </row>
    <row r="52" spans="1:13" ht="12.75" customHeight="1" x14ac:dyDescent="0.2">
      <c r="A52" s="420"/>
      <c r="B52" s="429"/>
      <c r="C52" s="429"/>
      <c r="D52" s="429"/>
      <c r="E52" s="429"/>
      <c r="F52" s="429"/>
      <c r="G52" s="429"/>
      <c r="H52" s="429"/>
      <c r="I52" s="429"/>
      <c r="J52" s="429"/>
      <c r="K52" s="429"/>
      <c r="L52" s="429"/>
      <c r="M52" s="420"/>
    </row>
    <row r="53" spans="1:13" ht="12.75" customHeight="1" x14ac:dyDescent="0.2">
      <c r="A53" s="420"/>
      <c r="B53" s="442"/>
      <c r="C53" s="442"/>
      <c r="D53" s="442"/>
      <c r="E53" s="442"/>
      <c r="F53" s="442"/>
      <c r="G53" s="442"/>
      <c r="H53" s="442"/>
      <c r="I53" s="442"/>
      <c r="J53" s="442"/>
      <c r="K53" s="442"/>
      <c r="L53" s="442"/>
      <c r="M53" s="420"/>
    </row>
    <row r="54" spans="1:13" x14ac:dyDescent="0.2">
      <c r="A54" s="420"/>
      <c r="B54" s="425"/>
      <c r="C54" s="425"/>
      <c r="D54" s="427"/>
      <c r="E54" s="427"/>
      <c r="F54" s="427"/>
      <c r="G54" s="427"/>
      <c r="H54" s="427"/>
      <c r="I54" s="427"/>
      <c r="J54" s="427"/>
      <c r="K54" s="427"/>
      <c r="L54" s="427"/>
      <c r="M54" s="420"/>
    </row>
    <row r="55" spans="1:13" x14ac:dyDescent="0.2">
      <c r="A55" s="420"/>
      <c r="B55" s="425"/>
      <c r="C55" s="425"/>
      <c r="D55" s="428"/>
      <c r="E55" s="427"/>
      <c r="F55" s="428"/>
      <c r="G55" s="428"/>
      <c r="H55" s="428"/>
      <c r="I55" s="427"/>
      <c r="J55" s="428"/>
      <c r="K55" s="428"/>
      <c r="L55" s="428"/>
      <c r="M55" s="420"/>
    </row>
    <row r="56" spans="1:13" ht="12.75" customHeight="1" x14ac:dyDescent="0.2">
      <c r="A56" s="420"/>
      <c r="B56" s="47"/>
      <c r="C56" s="425"/>
      <c r="D56" s="85" t="s">
        <v>123</v>
      </c>
      <c r="E56" s="427"/>
      <c r="F56" s="430" t="s">
        <v>144</v>
      </c>
      <c r="G56" s="430"/>
      <c r="H56" s="430"/>
      <c r="I56" s="427"/>
      <c r="J56" s="430" t="s">
        <v>143</v>
      </c>
      <c r="K56" s="430"/>
      <c r="L56" s="430"/>
      <c r="M56" s="420"/>
    </row>
    <row r="57" spans="1:13" x14ac:dyDescent="0.2">
      <c r="A57" s="420"/>
      <c r="B57" s="46"/>
      <c r="C57" s="425"/>
      <c r="D57" s="46" t="s">
        <v>118</v>
      </c>
      <c r="E57" s="427"/>
      <c r="F57" s="424" t="s">
        <v>95</v>
      </c>
      <c r="G57" s="424"/>
      <c r="H57" s="424"/>
      <c r="I57" s="427"/>
      <c r="J57" s="424" t="s">
        <v>105</v>
      </c>
      <c r="K57" s="424"/>
      <c r="L57" s="424"/>
      <c r="M57" s="420"/>
    </row>
    <row r="58" spans="1:13" x14ac:dyDescent="0.2">
      <c r="A58" s="420"/>
      <c r="B58" s="425"/>
      <c r="C58" s="425"/>
      <c r="D58" s="425"/>
      <c r="E58" s="425"/>
      <c r="F58" s="425"/>
      <c r="G58" s="425"/>
      <c r="H58" s="425"/>
      <c r="I58" s="425"/>
      <c r="J58" s="425"/>
      <c r="K58" s="425"/>
      <c r="L58" s="425"/>
      <c r="M58" s="420"/>
    </row>
  </sheetData>
  <mergeCells count="87">
    <mergeCell ref="B53:L53"/>
    <mergeCell ref="B13:L13"/>
    <mergeCell ref="A1:A29"/>
    <mergeCell ref="B1:I4"/>
    <mergeCell ref="J1:L4"/>
    <mergeCell ref="B5:L5"/>
    <mergeCell ref="C6:D6"/>
    <mergeCell ref="F6:L6"/>
    <mergeCell ref="B7:L7"/>
    <mergeCell ref="C8:D8"/>
    <mergeCell ref="I8:J8"/>
    <mergeCell ref="B9:L9"/>
    <mergeCell ref="C10:G10"/>
    <mergeCell ref="I10:L10"/>
    <mergeCell ref="B11:L11"/>
    <mergeCell ref="C12:L12"/>
    <mergeCell ref="B23:L23"/>
    <mergeCell ref="C20:L20"/>
    <mergeCell ref="C14:D14"/>
    <mergeCell ref="F14:H14"/>
    <mergeCell ref="B15:L15"/>
    <mergeCell ref="C16:D16"/>
    <mergeCell ref="F16:H16"/>
    <mergeCell ref="B17:L17"/>
    <mergeCell ref="C18:D18"/>
    <mergeCell ref="F18:H18"/>
    <mergeCell ref="B19:L19"/>
    <mergeCell ref="B21:L22"/>
    <mergeCell ref="B25:B26"/>
    <mergeCell ref="C25:C28"/>
    <mergeCell ref="D25:D26"/>
    <mergeCell ref="E25:E28"/>
    <mergeCell ref="F25:H26"/>
    <mergeCell ref="I25:I28"/>
    <mergeCell ref="J25:L26"/>
    <mergeCell ref="F27:H27"/>
    <mergeCell ref="J27:L27"/>
    <mergeCell ref="F28:H28"/>
    <mergeCell ref="J28:L28"/>
    <mergeCell ref="B24:L24"/>
    <mergeCell ref="C45:D45"/>
    <mergeCell ref="B29:L29"/>
    <mergeCell ref="A30:A58"/>
    <mergeCell ref="B30:I33"/>
    <mergeCell ref="J30:L33"/>
    <mergeCell ref="B40:L40"/>
    <mergeCell ref="C41:L41"/>
    <mergeCell ref="B42:L42"/>
    <mergeCell ref="F45:H45"/>
    <mergeCell ref="B46:L46"/>
    <mergeCell ref="C47:D47"/>
    <mergeCell ref="F47:H47"/>
    <mergeCell ref="B48:L48"/>
    <mergeCell ref="J56:L56"/>
    <mergeCell ref="F57:H57"/>
    <mergeCell ref="B52:L52"/>
    <mergeCell ref="I54:I57"/>
    <mergeCell ref="J54:L55"/>
    <mergeCell ref="F56:H56"/>
    <mergeCell ref="B34:L34"/>
    <mergeCell ref="C35:D35"/>
    <mergeCell ref="F35:L35"/>
    <mergeCell ref="B36:L36"/>
    <mergeCell ref="C37:D37"/>
    <mergeCell ref="I37:J37"/>
    <mergeCell ref="B38:L38"/>
    <mergeCell ref="C39:G39"/>
    <mergeCell ref="I39:L39"/>
    <mergeCell ref="C49:L49"/>
    <mergeCell ref="C43:D43"/>
    <mergeCell ref="F43:H43"/>
    <mergeCell ref="B44:L44"/>
    <mergeCell ref="M1:M58"/>
    <mergeCell ref="I14:L14"/>
    <mergeCell ref="I16:L16"/>
    <mergeCell ref="I18:L18"/>
    <mergeCell ref="I43:L43"/>
    <mergeCell ref="I45:L45"/>
    <mergeCell ref="I47:L47"/>
    <mergeCell ref="J57:L57"/>
    <mergeCell ref="B58:L58"/>
    <mergeCell ref="B50:L51"/>
    <mergeCell ref="B54:B55"/>
    <mergeCell ref="C54:C57"/>
    <mergeCell ref="D54:D55"/>
    <mergeCell ref="E54:E57"/>
    <mergeCell ref="F54:H55"/>
  </mergeCells>
  <pageMargins left="0.23622047244094491" right="0.23622047244094491" top="0.74803149606299213" bottom="0.74803149606299213" header="0" footer="0"/>
  <pageSetup orientation="portrait" horizontalDpi="4294967292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5">
    <tabColor rgb="FF00B050"/>
  </sheetPr>
  <dimension ref="A1:M58"/>
  <sheetViews>
    <sheetView showGridLines="0" view="pageBreakPreview" topLeftCell="A9" zoomScale="90" zoomScaleNormal="90" zoomScaleSheetLayoutView="90" zoomScalePageLayoutView="90" workbookViewId="0">
      <selection activeCell="F62" sqref="F62"/>
    </sheetView>
  </sheetViews>
  <sheetFormatPr baseColWidth="10" defaultRowHeight="15" x14ac:dyDescent="0.2"/>
  <cols>
    <col min="1" max="1" width="2.33203125" customWidth="1"/>
    <col min="2" max="2" width="17.5" customWidth="1"/>
    <col min="3" max="3" width="3.5" customWidth="1"/>
    <col min="4" max="4" width="24.5" customWidth="1"/>
    <col min="5" max="5" width="2.5" customWidth="1"/>
    <col min="6" max="6" width="4.6640625" customWidth="1"/>
    <col min="7" max="7" width="9.5" customWidth="1"/>
    <col min="8" max="8" width="6.33203125" customWidth="1"/>
    <col min="9" max="9" width="2.6640625" customWidth="1"/>
    <col min="10" max="10" width="7.6640625" customWidth="1"/>
    <col min="11" max="11" width="4.33203125" customWidth="1"/>
    <col min="12" max="12" width="10.6640625" customWidth="1"/>
    <col min="13" max="13" width="3.1640625" customWidth="1"/>
  </cols>
  <sheetData>
    <row r="1" spans="1:13" ht="12.75" customHeight="1" x14ac:dyDescent="0.2">
      <c r="A1" s="420"/>
      <c r="B1" s="231"/>
      <c r="C1" s="231"/>
      <c r="D1" s="231"/>
      <c r="E1" s="231"/>
      <c r="F1" s="231"/>
      <c r="G1" s="231"/>
      <c r="H1" s="231"/>
      <c r="I1" s="231"/>
      <c r="J1" s="437" t="s">
        <v>126</v>
      </c>
      <c r="K1" s="437"/>
      <c r="L1" s="437"/>
      <c r="M1" s="420"/>
    </row>
    <row r="2" spans="1:13" ht="12.75" customHeight="1" x14ac:dyDescent="0.2">
      <c r="A2" s="420"/>
      <c r="B2" s="231"/>
      <c r="C2" s="231"/>
      <c r="D2" s="231"/>
      <c r="E2" s="231"/>
      <c r="F2" s="231"/>
      <c r="G2" s="231"/>
      <c r="H2" s="231"/>
      <c r="I2" s="231"/>
      <c r="J2" s="437"/>
      <c r="K2" s="437"/>
      <c r="L2" s="437"/>
      <c r="M2" s="420"/>
    </row>
    <row r="3" spans="1:13" ht="12.75" customHeight="1" x14ac:dyDescent="0.2">
      <c r="A3" s="420"/>
      <c r="B3" s="231"/>
      <c r="C3" s="231"/>
      <c r="D3" s="231"/>
      <c r="E3" s="231"/>
      <c r="F3" s="231"/>
      <c r="G3" s="231"/>
      <c r="H3" s="231"/>
      <c r="I3" s="231"/>
      <c r="J3" s="437"/>
      <c r="K3" s="437"/>
      <c r="L3" s="437"/>
      <c r="M3" s="420"/>
    </row>
    <row r="4" spans="1:13" ht="12.75" customHeight="1" x14ac:dyDescent="0.2">
      <c r="A4" s="420"/>
      <c r="B4" s="231"/>
      <c r="C4" s="231"/>
      <c r="D4" s="231"/>
      <c r="E4" s="231"/>
      <c r="F4" s="231"/>
      <c r="G4" s="231"/>
      <c r="H4" s="231"/>
      <c r="I4" s="231"/>
      <c r="J4" s="437"/>
      <c r="K4" s="437"/>
      <c r="L4" s="437"/>
      <c r="M4" s="420"/>
    </row>
    <row r="5" spans="1:13" ht="12.75" customHeight="1" x14ac:dyDescent="0.2">
      <c r="A5" s="420"/>
      <c r="B5" s="420"/>
      <c r="C5" s="420"/>
      <c r="D5" s="420"/>
      <c r="E5" s="420"/>
      <c r="F5" s="420"/>
      <c r="G5" s="420"/>
      <c r="H5" s="420"/>
      <c r="I5" s="420"/>
      <c r="J5" s="420"/>
      <c r="K5" s="420"/>
      <c r="L5" s="420"/>
      <c r="M5" s="420"/>
    </row>
    <row r="6" spans="1:13" ht="12.75" customHeight="1" x14ac:dyDescent="0.2">
      <c r="A6" s="420"/>
      <c r="B6" s="41" t="s">
        <v>0</v>
      </c>
      <c r="C6" s="431">
        <f ca="1">(CAPTURA!E8)</f>
        <v>46079</v>
      </c>
      <c r="D6" s="422"/>
      <c r="E6" s="42"/>
      <c r="F6" s="432" t="s">
        <v>122</v>
      </c>
      <c r="G6" s="432"/>
      <c r="H6" s="432"/>
      <c r="I6" s="432"/>
      <c r="J6" s="432"/>
      <c r="K6" s="432"/>
      <c r="L6" s="432"/>
      <c r="M6" s="420"/>
    </row>
    <row r="7" spans="1:13" ht="8" customHeight="1" x14ac:dyDescent="0.2">
      <c r="A7" s="420"/>
      <c r="B7" s="420"/>
      <c r="C7" s="420"/>
      <c r="D7" s="420"/>
      <c r="E7" s="420"/>
      <c r="F7" s="420"/>
      <c r="G7" s="420"/>
      <c r="H7" s="420"/>
      <c r="I7" s="420"/>
      <c r="J7" s="420"/>
      <c r="K7" s="420"/>
      <c r="L7" s="420"/>
      <c r="M7" s="420"/>
    </row>
    <row r="8" spans="1:13" ht="12.75" customHeight="1" x14ac:dyDescent="0.2">
      <c r="A8" s="420"/>
      <c r="B8" s="41" t="s">
        <v>99</v>
      </c>
      <c r="C8" s="422" t="str">
        <f>(CAPTURA!I17)</f>
        <v>SANTTE RESIDENCIAL</v>
      </c>
      <c r="D8" s="422"/>
      <c r="E8" s="42"/>
      <c r="F8" s="41" t="s">
        <v>107</v>
      </c>
      <c r="G8" s="43">
        <f>(CAPTURA!I19)</f>
        <v>45</v>
      </c>
      <c r="H8" s="41" t="s">
        <v>76</v>
      </c>
      <c r="I8" s="433">
        <f>(CAPTURA!I20)</f>
        <v>16</v>
      </c>
      <c r="J8" s="433"/>
      <c r="K8" s="41" t="s">
        <v>108</v>
      </c>
      <c r="L8" s="43">
        <f>(CAPTURA!I21)</f>
        <v>114</v>
      </c>
      <c r="M8" s="420"/>
    </row>
    <row r="9" spans="1:13" ht="8" customHeight="1" x14ac:dyDescent="0.2">
      <c r="A9" s="420"/>
      <c r="B9" s="420"/>
      <c r="C9" s="420"/>
      <c r="D9" s="420"/>
      <c r="E9" s="420"/>
      <c r="F9" s="420"/>
      <c r="G9" s="420"/>
      <c r="H9" s="420"/>
      <c r="I9" s="420"/>
      <c r="J9" s="420"/>
      <c r="K9" s="420"/>
      <c r="L9" s="420"/>
      <c r="M9" s="420"/>
    </row>
    <row r="10" spans="1:13" ht="12.75" customHeight="1" x14ac:dyDescent="0.2">
      <c r="A10" s="420"/>
      <c r="B10" s="41" t="s">
        <v>109</v>
      </c>
      <c r="C10" s="422" t="str">
        <f>CONCATENATE(CAPTURA!E11, " ",CAPTURA!E12, " ", CAPTURA!E13)</f>
        <v>AMIRA IRACEMA TORRES GONZALEZ</v>
      </c>
      <c r="D10" s="422"/>
      <c r="E10" s="422"/>
      <c r="F10" s="422"/>
      <c r="G10" s="422"/>
      <c r="H10" s="41" t="s">
        <v>110</v>
      </c>
      <c r="I10" s="434">
        <f>(CAPTURA!I24)</f>
        <v>166.929</v>
      </c>
      <c r="J10" s="422"/>
      <c r="K10" s="422"/>
      <c r="L10" s="422"/>
      <c r="M10" s="420"/>
    </row>
    <row r="11" spans="1:13" ht="8" customHeight="1" x14ac:dyDescent="0.2">
      <c r="A11" s="420"/>
      <c r="B11" s="420"/>
      <c r="C11" s="420"/>
      <c r="D11" s="420"/>
      <c r="E11" s="420"/>
      <c r="F11" s="420"/>
      <c r="G11" s="420"/>
      <c r="H11" s="420"/>
      <c r="I11" s="420"/>
      <c r="J11" s="420"/>
      <c r="K11" s="420"/>
      <c r="L11" s="420"/>
      <c r="M11" s="420"/>
    </row>
    <row r="12" spans="1:13" ht="12.75" customHeight="1" x14ac:dyDescent="0.2">
      <c r="A12" s="420"/>
      <c r="B12" s="37" t="s">
        <v>6</v>
      </c>
      <c r="C12" s="422" t="str">
        <f>(CAPTURA!E16)</f>
        <v>TOGA710207HC3</v>
      </c>
      <c r="D12" s="422"/>
      <c r="E12" s="422"/>
      <c r="F12" s="422"/>
      <c r="G12" s="422"/>
      <c r="H12" s="422"/>
      <c r="I12" s="422"/>
      <c r="J12" s="422"/>
      <c r="K12" s="422"/>
      <c r="L12" s="422"/>
      <c r="M12" s="420"/>
    </row>
    <row r="13" spans="1:13" ht="8" customHeight="1" x14ac:dyDescent="0.2">
      <c r="A13" s="420"/>
      <c r="B13" s="420"/>
      <c r="C13" s="420"/>
      <c r="D13" s="420"/>
      <c r="E13" s="420"/>
      <c r="F13" s="420"/>
      <c r="G13" s="420"/>
      <c r="H13" s="420"/>
      <c r="I13" s="420"/>
      <c r="J13" s="420"/>
      <c r="K13" s="420"/>
      <c r="L13" s="420"/>
      <c r="M13" s="420"/>
    </row>
    <row r="14" spans="1:13" ht="12.75" customHeight="1" x14ac:dyDescent="0.2">
      <c r="A14" s="420"/>
      <c r="B14" s="41" t="s">
        <v>111</v>
      </c>
      <c r="C14" s="421">
        <f>(CAPTURA!I26)</f>
        <v>2100000</v>
      </c>
      <c r="D14" s="421"/>
      <c r="E14" s="42"/>
      <c r="F14" s="435" t="s">
        <v>112</v>
      </c>
      <c r="G14" s="435"/>
      <c r="H14" s="435"/>
      <c r="I14" s="421">
        <f>(CAPTURA!I25)</f>
        <v>12580.19876714052</v>
      </c>
      <c r="J14" s="421"/>
      <c r="K14" s="421"/>
      <c r="L14" s="421"/>
      <c r="M14" s="420"/>
    </row>
    <row r="15" spans="1:13" ht="8" customHeight="1" x14ac:dyDescent="0.2">
      <c r="A15" s="420"/>
      <c r="B15" s="420"/>
      <c r="C15" s="420"/>
      <c r="D15" s="420"/>
      <c r="E15" s="420"/>
      <c r="F15" s="420"/>
      <c r="G15" s="420"/>
      <c r="H15" s="420"/>
      <c r="I15" s="420"/>
      <c r="J15" s="420"/>
      <c r="K15" s="420"/>
      <c r="L15" s="420"/>
      <c r="M15" s="420"/>
    </row>
    <row r="16" spans="1:13" ht="12.75" customHeight="1" x14ac:dyDescent="0.2">
      <c r="A16" s="420"/>
      <c r="B16" s="41" t="s">
        <v>113</v>
      </c>
      <c r="C16" s="422">
        <f>(CAPTURA!I23)</f>
        <v>0</v>
      </c>
      <c r="D16" s="422"/>
      <c r="E16" s="44"/>
      <c r="F16" s="435" t="s">
        <v>74</v>
      </c>
      <c r="G16" s="435"/>
      <c r="H16" s="435"/>
      <c r="I16" s="422" t="str">
        <f>(CAPTURA!I18)</f>
        <v>TERRENO</v>
      </c>
      <c r="J16" s="422"/>
      <c r="K16" s="422"/>
      <c r="L16" s="422"/>
      <c r="M16" s="420"/>
    </row>
    <row r="17" spans="1:13" ht="8" customHeight="1" x14ac:dyDescent="0.2">
      <c r="A17" s="420"/>
      <c r="B17" s="420"/>
      <c r="C17" s="420"/>
      <c r="D17" s="420"/>
      <c r="E17" s="420"/>
      <c r="F17" s="420"/>
      <c r="G17" s="420"/>
      <c r="H17" s="420"/>
      <c r="I17" s="420"/>
      <c r="J17" s="420"/>
      <c r="K17" s="420"/>
      <c r="L17" s="420"/>
      <c r="M17" s="420"/>
    </row>
    <row r="18" spans="1:13" ht="12.75" customHeight="1" x14ac:dyDescent="0.2">
      <c r="A18" s="420"/>
      <c r="B18" s="41" t="s">
        <v>127</v>
      </c>
      <c r="C18" s="422"/>
      <c r="D18" s="422"/>
      <c r="E18" s="44"/>
      <c r="F18" s="435" t="s">
        <v>124</v>
      </c>
      <c r="G18" s="435"/>
      <c r="H18" s="435"/>
      <c r="I18" s="423"/>
      <c r="J18" s="422"/>
      <c r="K18" s="422"/>
      <c r="L18" s="422"/>
      <c r="M18" s="420"/>
    </row>
    <row r="19" spans="1:13" ht="8" customHeight="1" x14ac:dyDescent="0.2">
      <c r="A19" s="420"/>
      <c r="B19" s="420"/>
      <c r="C19" s="420"/>
      <c r="D19" s="420"/>
      <c r="E19" s="420"/>
      <c r="F19" s="420"/>
      <c r="G19" s="420"/>
      <c r="H19" s="420"/>
      <c r="I19" s="420"/>
      <c r="J19" s="420"/>
      <c r="K19" s="420"/>
      <c r="L19" s="420"/>
      <c r="M19" s="420"/>
    </row>
    <row r="20" spans="1:13" ht="12.75" customHeight="1" x14ac:dyDescent="0.2">
      <c r="A20" s="420"/>
      <c r="B20" s="41" t="s">
        <v>116</v>
      </c>
      <c r="C20" s="420"/>
      <c r="D20" s="420"/>
      <c r="E20" s="420"/>
      <c r="F20" s="420"/>
      <c r="G20" s="420"/>
      <c r="H20" s="420"/>
      <c r="I20" s="420"/>
      <c r="J20" s="420"/>
      <c r="K20" s="420"/>
      <c r="L20" s="420"/>
      <c r="M20" s="420"/>
    </row>
    <row r="21" spans="1:13" ht="12.75" customHeight="1" x14ac:dyDescent="0.2">
      <c r="A21" s="420"/>
      <c r="B21" s="441"/>
      <c r="C21" s="441"/>
      <c r="D21" s="441"/>
      <c r="E21" s="441"/>
      <c r="F21" s="441"/>
      <c r="G21" s="441"/>
      <c r="H21" s="441"/>
      <c r="I21" s="441"/>
      <c r="J21" s="441"/>
      <c r="K21" s="441"/>
      <c r="L21" s="441"/>
      <c r="M21" s="420"/>
    </row>
    <row r="22" spans="1:13" ht="12.75" customHeight="1" x14ac:dyDescent="0.2">
      <c r="A22" s="420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420"/>
    </row>
    <row r="23" spans="1:13" ht="12.75" customHeight="1" x14ac:dyDescent="0.2">
      <c r="A23" s="420"/>
      <c r="B23" s="429"/>
      <c r="C23" s="429"/>
      <c r="D23" s="429"/>
      <c r="E23" s="429"/>
      <c r="F23" s="429"/>
      <c r="G23" s="429"/>
      <c r="H23" s="429"/>
      <c r="I23" s="429"/>
      <c r="J23" s="429"/>
      <c r="K23" s="429"/>
      <c r="L23" s="429"/>
      <c r="M23" s="420"/>
    </row>
    <row r="24" spans="1:13" ht="12.75" customHeight="1" x14ac:dyDescent="0.2">
      <c r="A24" s="420"/>
      <c r="B24" s="429"/>
      <c r="C24" s="429"/>
      <c r="D24" s="429"/>
      <c r="E24" s="429"/>
      <c r="F24" s="429"/>
      <c r="G24" s="429"/>
      <c r="H24" s="429"/>
      <c r="I24" s="429"/>
      <c r="J24" s="429"/>
      <c r="K24" s="429"/>
      <c r="L24" s="429"/>
      <c r="M24" s="420"/>
    </row>
    <row r="25" spans="1:13" ht="12.75" customHeight="1" x14ac:dyDescent="0.2">
      <c r="A25" s="420"/>
      <c r="B25" s="420"/>
      <c r="C25" s="420"/>
      <c r="D25" s="420"/>
      <c r="E25" s="420"/>
      <c r="F25" s="420"/>
      <c r="G25" s="420"/>
      <c r="H25" s="420"/>
      <c r="I25" s="420"/>
      <c r="J25" s="420"/>
      <c r="K25" s="420"/>
      <c r="L25" s="420"/>
      <c r="M25" s="420"/>
    </row>
    <row r="26" spans="1:13" ht="12.75" customHeight="1" x14ac:dyDescent="0.2">
      <c r="A26" s="420"/>
      <c r="B26" s="420"/>
      <c r="C26" s="420"/>
      <c r="D26" s="439"/>
      <c r="E26" s="420"/>
      <c r="F26" s="439"/>
      <c r="G26" s="439"/>
      <c r="H26" s="439"/>
      <c r="I26" s="420"/>
      <c r="J26" s="439"/>
      <c r="K26" s="439"/>
      <c r="L26" s="439"/>
      <c r="M26" s="420"/>
    </row>
    <row r="27" spans="1:13" ht="12.75" customHeight="1" x14ac:dyDescent="0.2">
      <c r="A27" s="420"/>
      <c r="B27" s="45"/>
      <c r="C27" s="420"/>
      <c r="D27" s="85" t="s">
        <v>128</v>
      </c>
      <c r="E27" s="420"/>
      <c r="F27" s="443" t="s">
        <v>123</v>
      </c>
      <c r="G27" s="443"/>
      <c r="H27" s="443"/>
      <c r="I27" s="420"/>
      <c r="J27" s="430" t="s">
        <v>143</v>
      </c>
      <c r="K27" s="430"/>
      <c r="L27" s="430"/>
      <c r="M27" s="420"/>
    </row>
    <row r="28" spans="1:13" ht="20" customHeight="1" x14ac:dyDescent="0.2">
      <c r="A28" s="420"/>
      <c r="B28" s="38"/>
      <c r="C28" s="420"/>
      <c r="D28" s="46" t="s">
        <v>129</v>
      </c>
      <c r="E28" s="420"/>
      <c r="F28" s="424" t="s">
        <v>125</v>
      </c>
      <c r="G28" s="424"/>
      <c r="H28" s="424"/>
      <c r="I28" s="420"/>
      <c r="J28" s="440" t="s">
        <v>105</v>
      </c>
      <c r="K28" s="440"/>
      <c r="L28" s="440"/>
      <c r="M28" s="420"/>
    </row>
    <row r="29" spans="1:13" ht="12.75" customHeight="1" x14ac:dyDescent="0.2">
      <c r="A29" s="420"/>
      <c r="B29" s="420"/>
      <c r="C29" s="420"/>
      <c r="D29" s="420"/>
      <c r="E29" s="420"/>
      <c r="F29" s="420"/>
      <c r="G29" s="420"/>
      <c r="H29" s="420"/>
      <c r="I29" s="420"/>
      <c r="J29" s="420"/>
      <c r="K29" s="420"/>
      <c r="L29" s="420"/>
      <c r="M29" s="420"/>
    </row>
    <row r="30" spans="1:13" ht="12.75" customHeight="1" x14ac:dyDescent="0.2">
      <c r="A30" s="420"/>
      <c r="B30" s="231"/>
      <c r="C30" s="231"/>
      <c r="D30" s="231"/>
      <c r="E30" s="231"/>
      <c r="F30" s="231"/>
      <c r="G30" s="231"/>
      <c r="H30" s="231"/>
      <c r="I30" s="231"/>
      <c r="J30" s="437" t="s">
        <v>126</v>
      </c>
      <c r="K30" s="437"/>
      <c r="L30" s="437"/>
      <c r="M30" s="420"/>
    </row>
    <row r="31" spans="1:13" ht="12.75" customHeight="1" x14ac:dyDescent="0.2">
      <c r="A31" s="420"/>
      <c r="B31" s="231"/>
      <c r="C31" s="231"/>
      <c r="D31" s="231"/>
      <c r="E31" s="231"/>
      <c r="F31" s="231"/>
      <c r="G31" s="231"/>
      <c r="H31" s="231"/>
      <c r="I31" s="231"/>
      <c r="J31" s="437"/>
      <c r="K31" s="437"/>
      <c r="L31" s="437"/>
      <c r="M31" s="420"/>
    </row>
    <row r="32" spans="1:13" ht="12.75" customHeight="1" x14ac:dyDescent="0.2">
      <c r="A32" s="420"/>
      <c r="B32" s="231"/>
      <c r="C32" s="231"/>
      <c r="D32" s="231"/>
      <c r="E32" s="231"/>
      <c r="F32" s="231"/>
      <c r="G32" s="231"/>
      <c r="H32" s="231"/>
      <c r="I32" s="231"/>
      <c r="J32" s="437"/>
      <c r="K32" s="437"/>
      <c r="L32" s="437"/>
      <c r="M32" s="420"/>
    </row>
    <row r="33" spans="1:13" ht="12.75" customHeight="1" x14ac:dyDescent="0.2">
      <c r="A33" s="420"/>
      <c r="B33" s="231"/>
      <c r="C33" s="231"/>
      <c r="D33" s="231"/>
      <c r="E33" s="231"/>
      <c r="F33" s="231"/>
      <c r="G33" s="231"/>
      <c r="H33" s="231"/>
      <c r="I33" s="231"/>
      <c r="J33" s="437"/>
      <c r="K33" s="437"/>
      <c r="L33" s="437"/>
      <c r="M33" s="420"/>
    </row>
    <row r="34" spans="1:13" ht="12.75" customHeight="1" x14ac:dyDescent="0.2">
      <c r="A34" s="420"/>
      <c r="B34" s="420"/>
      <c r="C34" s="420"/>
      <c r="D34" s="420"/>
      <c r="E34" s="420"/>
      <c r="F34" s="420"/>
      <c r="G34" s="420"/>
      <c r="H34" s="420"/>
      <c r="I34" s="420"/>
      <c r="J34" s="420"/>
      <c r="K34" s="420"/>
      <c r="L34" s="420"/>
      <c r="M34" s="420"/>
    </row>
    <row r="35" spans="1:13" ht="12.75" customHeight="1" x14ac:dyDescent="0.2">
      <c r="A35" s="420"/>
      <c r="B35" s="41" t="s">
        <v>0</v>
      </c>
      <c r="C35" s="431">
        <f ca="1">(CAPTURA!E8)</f>
        <v>46079</v>
      </c>
      <c r="D35" s="422"/>
      <c r="E35" s="42"/>
      <c r="F35" s="432" t="s">
        <v>122</v>
      </c>
      <c r="G35" s="432"/>
      <c r="H35" s="432"/>
      <c r="I35" s="432"/>
      <c r="J35" s="432"/>
      <c r="K35" s="432"/>
      <c r="L35" s="432"/>
      <c r="M35" s="420"/>
    </row>
    <row r="36" spans="1:13" ht="8" customHeight="1" x14ac:dyDescent="0.2">
      <c r="A36" s="420"/>
      <c r="B36" s="420"/>
      <c r="C36" s="420"/>
      <c r="D36" s="420"/>
      <c r="E36" s="420"/>
      <c r="F36" s="420"/>
      <c r="G36" s="420"/>
      <c r="H36" s="420"/>
      <c r="I36" s="420"/>
      <c r="J36" s="420"/>
      <c r="K36" s="420"/>
      <c r="L36" s="420"/>
      <c r="M36" s="420"/>
    </row>
    <row r="37" spans="1:13" ht="12.75" customHeight="1" x14ac:dyDescent="0.2">
      <c r="A37" s="420"/>
      <c r="B37" s="41" t="s">
        <v>99</v>
      </c>
      <c r="C37" s="422" t="str">
        <f>(CAPTURA!I17)</f>
        <v>SANTTE RESIDENCIAL</v>
      </c>
      <c r="D37" s="422"/>
      <c r="E37" s="42"/>
      <c r="F37" s="41" t="s">
        <v>107</v>
      </c>
      <c r="G37" s="43">
        <f>(CAPTURA!I19)</f>
        <v>45</v>
      </c>
      <c r="H37" s="41" t="s">
        <v>76</v>
      </c>
      <c r="I37" s="433">
        <f>(CAPTURA!I20)</f>
        <v>16</v>
      </c>
      <c r="J37" s="433"/>
      <c r="K37" s="41" t="s">
        <v>108</v>
      </c>
      <c r="L37" s="43">
        <f>(CAPTURA!I21)</f>
        <v>114</v>
      </c>
      <c r="M37" s="420"/>
    </row>
    <row r="38" spans="1:13" ht="8" customHeight="1" x14ac:dyDescent="0.2">
      <c r="A38" s="420"/>
      <c r="B38" s="420"/>
      <c r="C38" s="420"/>
      <c r="D38" s="420"/>
      <c r="E38" s="420"/>
      <c r="F38" s="420"/>
      <c r="G38" s="420"/>
      <c r="H38" s="420"/>
      <c r="I38" s="420"/>
      <c r="J38" s="420"/>
      <c r="K38" s="420"/>
      <c r="L38" s="420"/>
      <c r="M38" s="420"/>
    </row>
    <row r="39" spans="1:13" ht="12.75" customHeight="1" x14ac:dyDescent="0.2">
      <c r="A39" s="420"/>
      <c r="B39" s="41" t="s">
        <v>109</v>
      </c>
      <c r="C39" s="422" t="str">
        <f>CONCATENATE(CAPTURA!E11, " ",CAPTURA!E12, " ", CAPTURA!E13)</f>
        <v>AMIRA IRACEMA TORRES GONZALEZ</v>
      </c>
      <c r="D39" s="422"/>
      <c r="E39" s="422"/>
      <c r="F39" s="422"/>
      <c r="G39" s="422"/>
      <c r="H39" s="41" t="s">
        <v>110</v>
      </c>
      <c r="I39" s="434">
        <f>(CAPTURA!I24)</f>
        <v>166.929</v>
      </c>
      <c r="J39" s="422"/>
      <c r="K39" s="422"/>
      <c r="L39" s="422"/>
      <c r="M39" s="420"/>
    </row>
    <row r="40" spans="1:13" ht="8" customHeight="1" x14ac:dyDescent="0.2">
      <c r="A40" s="420"/>
      <c r="B40" s="420"/>
      <c r="C40" s="420"/>
      <c r="D40" s="420"/>
      <c r="E40" s="420"/>
      <c r="F40" s="420"/>
      <c r="G40" s="420"/>
      <c r="H40" s="420"/>
      <c r="I40" s="420"/>
      <c r="J40" s="420"/>
      <c r="K40" s="420"/>
      <c r="L40" s="420"/>
      <c r="M40" s="420"/>
    </row>
    <row r="41" spans="1:13" ht="12.75" customHeight="1" x14ac:dyDescent="0.2">
      <c r="A41" s="420"/>
      <c r="B41" s="37" t="s">
        <v>6</v>
      </c>
      <c r="C41" s="422" t="str">
        <f>(CAPTURA!E16)</f>
        <v>TOGA710207HC3</v>
      </c>
      <c r="D41" s="422"/>
      <c r="E41" s="422"/>
      <c r="F41" s="422"/>
      <c r="G41" s="422"/>
      <c r="H41" s="422"/>
      <c r="I41" s="422"/>
      <c r="J41" s="422"/>
      <c r="K41" s="422"/>
      <c r="L41" s="422"/>
      <c r="M41" s="420"/>
    </row>
    <row r="42" spans="1:13" ht="8" customHeight="1" x14ac:dyDescent="0.2">
      <c r="A42" s="420"/>
      <c r="B42" s="420"/>
      <c r="C42" s="420"/>
      <c r="D42" s="420"/>
      <c r="E42" s="420"/>
      <c r="F42" s="420"/>
      <c r="G42" s="420"/>
      <c r="H42" s="420"/>
      <c r="I42" s="420"/>
      <c r="J42" s="420"/>
      <c r="K42" s="420"/>
      <c r="L42" s="420"/>
      <c r="M42" s="420"/>
    </row>
    <row r="43" spans="1:13" ht="12.75" customHeight="1" x14ac:dyDescent="0.2">
      <c r="A43" s="420"/>
      <c r="B43" s="41" t="s">
        <v>111</v>
      </c>
      <c r="C43" s="421">
        <f>(CAPTURA!I26)</f>
        <v>2100000</v>
      </c>
      <c r="D43" s="421"/>
      <c r="E43" s="42"/>
      <c r="F43" s="435" t="s">
        <v>112</v>
      </c>
      <c r="G43" s="435"/>
      <c r="H43" s="435"/>
      <c r="I43" s="421">
        <f>(CAPTURA!I25)</f>
        <v>12580.19876714052</v>
      </c>
      <c r="J43" s="421"/>
      <c r="K43" s="421"/>
      <c r="L43" s="421"/>
      <c r="M43" s="420"/>
    </row>
    <row r="44" spans="1:13" ht="8" customHeight="1" x14ac:dyDescent="0.2">
      <c r="A44" s="420"/>
      <c r="B44" s="420"/>
      <c r="C44" s="420"/>
      <c r="D44" s="420"/>
      <c r="E44" s="420"/>
      <c r="F44" s="420"/>
      <c r="G44" s="420"/>
      <c r="H44" s="420"/>
      <c r="I44" s="420"/>
      <c r="J44" s="420"/>
      <c r="K44" s="420"/>
      <c r="L44" s="420"/>
      <c r="M44" s="420"/>
    </row>
    <row r="45" spans="1:13" ht="12.75" customHeight="1" x14ac:dyDescent="0.2">
      <c r="A45" s="420"/>
      <c r="B45" s="41" t="s">
        <v>113</v>
      </c>
      <c r="C45" s="422">
        <f>(CAPTURA!I23)</f>
        <v>0</v>
      </c>
      <c r="D45" s="422"/>
      <c r="E45" s="44"/>
      <c r="F45" s="435" t="s">
        <v>74</v>
      </c>
      <c r="G45" s="435"/>
      <c r="H45" s="435"/>
      <c r="I45" s="422" t="str">
        <f>(CAPTURA!I18)</f>
        <v>TERRENO</v>
      </c>
      <c r="J45" s="422"/>
      <c r="K45" s="422"/>
      <c r="L45" s="422"/>
      <c r="M45" s="420"/>
    </row>
    <row r="46" spans="1:13" ht="8" customHeight="1" x14ac:dyDescent="0.2">
      <c r="A46" s="420"/>
      <c r="B46" s="438"/>
      <c r="C46" s="438"/>
      <c r="D46" s="438"/>
      <c r="E46" s="438"/>
      <c r="F46" s="438"/>
      <c r="G46" s="438"/>
      <c r="H46" s="438"/>
      <c r="I46" s="438"/>
      <c r="J46" s="438"/>
      <c r="K46" s="438"/>
      <c r="L46" s="438"/>
      <c r="M46" s="420"/>
    </row>
    <row r="47" spans="1:13" ht="12.75" customHeight="1" x14ac:dyDescent="0.2">
      <c r="A47" s="420"/>
      <c r="B47" s="41" t="s">
        <v>127</v>
      </c>
      <c r="C47" s="422"/>
      <c r="D47" s="422"/>
      <c r="E47" s="44"/>
      <c r="F47" s="435" t="s">
        <v>124</v>
      </c>
      <c r="G47" s="435"/>
      <c r="H47" s="435"/>
      <c r="I47" s="423"/>
      <c r="J47" s="422"/>
      <c r="K47" s="422"/>
      <c r="L47" s="422"/>
      <c r="M47" s="420"/>
    </row>
    <row r="48" spans="1:13" ht="8" customHeight="1" x14ac:dyDescent="0.2">
      <c r="A48" s="420"/>
      <c r="B48" s="420"/>
      <c r="C48" s="420"/>
      <c r="D48" s="420"/>
      <c r="E48" s="420"/>
      <c r="F48" s="420"/>
      <c r="G48" s="420"/>
      <c r="H48" s="420"/>
      <c r="I48" s="420"/>
      <c r="J48" s="420"/>
      <c r="K48" s="420"/>
      <c r="L48" s="420"/>
      <c r="M48" s="420"/>
    </row>
    <row r="49" spans="1:13" ht="12.75" customHeight="1" x14ac:dyDescent="0.2">
      <c r="A49" s="420"/>
      <c r="B49" s="41" t="s">
        <v>116</v>
      </c>
      <c r="C49" s="420"/>
      <c r="D49" s="420"/>
      <c r="E49" s="420"/>
      <c r="F49" s="420"/>
      <c r="G49" s="420"/>
      <c r="H49" s="420"/>
      <c r="I49" s="420"/>
      <c r="J49" s="420"/>
      <c r="K49" s="420"/>
      <c r="L49" s="420"/>
      <c r="M49" s="420"/>
    </row>
    <row r="50" spans="1:13" ht="12.75" customHeight="1" x14ac:dyDescent="0.2">
      <c r="A50" s="420"/>
      <c r="B50" s="422"/>
      <c r="C50" s="422"/>
      <c r="D50" s="422"/>
      <c r="E50" s="422"/>
      <c r="F50" s="422"/>
      <c r="G50" s="422"/>
      <c r="H50" s="422"/>
      <c r="I50" s="422"/>
      <c r="J50" s="422"/>
      <c r="K50" s="422"/>
      <c r="L50" s="88"/>
      <c r="M50" s="420"/>
    </row>
    <row r="51" spans="1:13" ht="12.75" customHeight="1" x14ac:dyDescent="0.2">
      <c r="A51" s="420"/>
      <c r="B51" s="429"/>
      <c r="C51" s="429"/>
      <c r="D51" s="429"/>
      <c r="E51" s="429"/>
      <c r="F51" s="429"/>
      <c r="G51" s="429"/>
      <c r="H51" s="429"/>
      <c r="I51" s="429"/>
      <c r="J51" s="429"/>
      <c r="K51" s="429"/>
      <c r="L51" s="429"/>
      <c r="M51" s="420"/>
    </row>
    <row r="52" spans="1:13" ht="12.75" customHeight="1" x14ac:dyDescent="0.2">
      <c r="A52" s="420"/>
      <c r="B52" s="429"/>
      <c r="C52" s="429"/>
      <c r="D52" s="429"/>
      <c r="E52" s="429"/>
      <c r="F52" s="429"/>
      <c r="G52" s="429"/>
      <c r="H52" s="429"/>
      <c r="I52" s="429"/>
      <c r="J52" s="429"/>
      <c r="K52" s="429"/>
      <c r="L52" s="429"/>
      <c r="M52" s="420"/>
    </row>
    <row r="53" spans="1:13" ht="12.75" customHeight="1" x14ac:dyDescent="0.2">
      <c r="A53" s="420"/>
      <c r="B53" s="442"/>
      <c r="C53" s="442"/>
      <c r="D53" s="442"/>
      <c r="E53" s="442"/>
      <c r="F53" s="442"/>
      <c r="G53" s="442"/>
      <c r="H53" s="442"/>
      <c r="I53" s="442"/>
      <c r="J53" s="442"/>
      <c r="K53" s="442"/>
      <c r="L53" s="442"/>
      <c r="M53" s="420"/>
    </row>
    <row r="54" spans="1:13" ht="12.75" customHeight="1" x14ac:dyDescent="0.2">
      <c r="A54" s="420"/>
      <c r="B54" s="425"/>
      <c r="C54" s="425"/>
      <c r="D54" s="427"/>
      <c r="E54" s="427"/>
      <c r="F54" s="427"/>
      <c r="G54" s="427"/>
      <c r="H54" s="427"/>
      <c r="I54" s="427"/>
      <c r="J54" s="427"/>
      <c r="K54" s="427"/>
      <c r="L54" s="427"/>
      <c r="M54" s="420"/>
    </row>
    <row r="55" spans="1:13" ht="12.75" customHeight="1" x14ac:dyDescent="0.2">
      <c r="A55" s="420"/>
      <c r="B55" s="425"/>
      <c r="C55" s="425"/>
      <c r="D55" s="428"/>
      <c r="E55" s="427"/>
      <c r="F55" s="428"/>
      <c r="G55" s="428"/>
      <c r="H55" s="428"/>
      <c r="I55" s="427"/>
      <c r="J55" s="428"/>
      <c r="K55" s="428"/>
      <c r="L55" s="428"/>
      <c r="M55" s="420"/>
    </row>
    <row r="56" spans="1:13" ht="12.75" customHeight="1" x14ac:dyDescent="0.2">
      <c r="A56" s="420"/>
      <c r="B56" s="47"/>
      <c r="C56" s="425"/>
      <c r="D56" s="85" t="s">
        <v>128</v>
      </c>
      <c r="E56" s="427"/>
      <c r="F56" s="430" t="s">
        <v>123</v>
      </c>
      <c r="G56" s="430"/>
      <c r="H56" s="430"/>
      <c r="I56" s="427"/>
      <c r="J56" s="430" t="s">
        <v>143</v>
      </c>
      <c r="K56" s="430"/>
      <c r="L56" s="430"/>
      <c r="M56" s="420"/>
    </row>
    <row r="57" spans="1:13" ht="20" customHeight="1" x14ac:dyDescent="0.2">
      <c r="A57" s="420"/>
      <c r="B57" s="46"/>
      <c r="C57" s="425"/>
      <c r="D57" s="46" t="s">
        <v>129</v>
      </c>
      <c r="E57" s="427"/>
      <c r="F57" s="424" t="s">
        <v>125</v>
      </c>
      <c r="G57" s="424"/>
      <c r="H57" s="424"/>
      <c r="I57" s="427"/>
      <c r="J57" s="424" t="s">
        <v>96</v>
      </c>
      <c r="K57" s="424"/>
      <c r="L57" s="424"/>
      <c r="M57" s="420"/>
    </row>
    <row r="58" spans="1:13" ht="12.75" customHeight="1" x14ac:dyDescent="0.2">
      <c r="A58" s="420"/>
      <c r="B58" s="425"/>
      <c r="C58" s="425"/>
      <c r="D58" s="425"/>
      <c r="E58" s="425"/>
      <c r="F58" s="425"/>
      <c r="G58" s="425"/>
      <c r="H58" s="425"/>
      <c r="I58" s="425"/>
      <c r="J58" s="425"/>
      <c r="K58" s="425"/>
      <c r="L58" s="425"/>
      <c r="M58" s="420"/>
    </row>
  </sheetData>
  <mergeCells count="92">
    <mergeCell ref="B58:L58"/>
    <mergeCell ref="B21:L21"/>
    <mergeCell ref="B51:L51"/>
    <mergeCell ref="I54:I57"/>
    <mergeCell ref="J54:L55"/>
    <mergeCell ref="F56:H56"/>
    <mergeCell ref="J56:L56"/>
    <mergeCell ref="F57:H57"/>
    <mergeCell ref="J57:L57"/>
    <mergeCell ref="B48:L48"/>
    <mergeCell ref="C49:L49"/>
    <mergeCell ref="B52:L52"/>
    <mergeCell ref="B53:L53"/>
    <mergeCell ref="B54:B55"/>
    <mergeCell ref="C54:C57"/>
    <mergeCell ref="F54:H55"/>
    <mergeCell ref="B44:L44"/>
    <mergeCell ref="C45:D45"/>
    <mergeCell ref="F45:H45"/>
    <mergeCell ref="I45:L45"/>
    <mergeCell ref="B46:L46"/>
    <mergeCell ref="C47:D47"/>
    <mergeCell ref="F47:H47"/>
    <mergeCell ref="I47:L47"/>
    <mergeCell ref="B50:C50"/>
    <mergeCell ref="D50:E50"/>
    <mergeCell ref="F50:G50"/>
    <mergeCell ref="H50:I50"/>
    <mergeCell ref="J50:K50"/>
    <mergeCell ref="B29:L29"/>
    <mergeCell ref="F35:L35"/>
    <mergeCell ref="B36:L36"/>
    <mergeCell ref="C37:D37"/>
    <mergeCell ref="I37:J37"/>
    <mergeCell ref="A30:A58"/>
    <mergeCell ref="B30:I33"/>
    <mergeCell ref="J30:L33"/>
    <mergeCell ref="B34:L34"/>
    <mergeCell ref="C35:D35"/>
    <mergeCell ref="C39:G39"/>
    <mergeCell ref="I39:L39"/>
    <mergeCell ref="B38:L38"/>
    <mergeCell ref="B40:L40"/>
    <mergeCell ref="C41:L41"/>
    <mergeCell ref="B42:L42"/>
    <mergeCell ref="C43:D43"/>
    <mergeCell ref="F43:H43"/>
    <mergeCell ref="I43:L43"/>
    <mergeCell ref="D54:D55"/>
    <mergeCell ref="E54:E57"/>
    <mergeCell ref="B23:L23"/>
    <mergeCell ref="B24:L24"/>
    <mergeCell ref="B25:B26"/>
    <mergeCell ref="C25:C28"/>
    <mergeCell ref="D25:D26"/>
    <mergeCell ref="E25:E28"/>
    <mergeCell ref="F25:H26"/>
    <mergeCell ref="I25:I28"/>
    <mergeCell ref="J25:L26"/>
    <mergeCell ref="F27:H27"/>
    <mergeCell ref="J27:L27"/>
    <mergeCell ref="F28:H28"/>
    <mergeCell ref="J28:L28"/>
    <mergeCell ref="C20:L20"/>
    <mergeCell ref="C14:D14"/>
    <mergeCell ref="F14:H14"/>
    <mergeCell ref="I14:L14"/>
    <mergeCell ref="B15:L15"/>
    <mergeCell ref="C16:D16"/>
    <mergeCell ref="F16:H16"/>
    <mergeCell ref="I16:L16"/>
    <mergeCell ref="B17:L17"/>
    <mergeCell ref="C18:D18"/>
    <mergeCell ref="F18:H18"/>
    <mergeCell ref="I18:L18"/>
    <mergeCell ref="B19:L19"/>
    <mergeCell ref="B13:L13"/>
    <mergeCell ref="A1:A29"/>
    <mergeCell ref="B1:I4"/>
    <mergeCell ref="J1:L4"/>
    <mergeCell ref="M1:M58"/>
    <mergeCell ref="B5:L5"/>
    <mergeCell ref="C6:D6"/>
    <mergeCell ref="F6:L6"/>
    <mergeCell ref="B7:L7"/>
    <mergeCell ref="C8:D8"/>
    <mergeCell ref="I8:J8"/>
    <mergeCell ref="B9:L9"/>
    <mergeCell ref="C10:G10"/>
    <mergeCell ref="I10:L10"/>
    <mergeCell ref="B11:L11"/>
    <mergeCell ref="C12:L12"/>
  </mergeCells>
  <pageMargins left="0.23622047244094491" right="0.23622047244094491" top="0.74803149606299213" bottom="0.74803149606299213" header="0" footer="0"/>
  <pageSetup orientation="portrait" horizontalDpi="429496729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6">
    <tabColor rgb="FFFF0000"/>
    <pageSetUpPr fitToPage="1"/>
  </sheetPr>
  <dimension ref="A1:O80"/>
  <sheetViews>
    <sheetView showGridLines="0" showZeros="0" view="pageBreakPreview" zoomScale="70" zoomScaleNormal="90" zoomScaleSheetLayoutView="70" zoomScalePageLayoutView="80" workbookViewId="0">
      <selection activeCell="I14" sqref="I14:K14"/>
    </sheetView>
  </sheetViews>
  <sheetFormatPr baseColWidth="10" defaultColWidth="11.5" defaultRowHeight="12" x14ac:dyDescent="0.15"/>
  <cols>
    <col min="1" max="1" width="1.5" style="12" customWidth="1"/>
    <col min="2" max="2" width="18.33203125" style="12" bestFit="1" customWidth="1"/>
    <col min="3" max="3" width="22" style="12" bestFit="1" customWidth="1"/>
    <col min="4" max="4" width="1.5" style="12" customWidth="1"/>
    <col min="5" max="5" width="12.5" style="12" bestFit="1" customWidth="1"/>
    <col min="6" max="6" width="2.33203125" style="12" customWidth="1"/>
    <col min="7" max="7" width="15.6640625" style="12" customWidth="1"/>
    <col min="8" max="8" width="17.5" style="12" bestFit="1" customWidth="1"/>
    <col min="9" max="9" width="2.33203125" style="12" customWidth="1"/>
    <col min="10" max="10" width="19.6640625" style="12" customWidth="1"/>
    <col min="11" max="11" width="33.6640625" style="12" customWidth="1"/>
    <col min="12" max="12" width="1.5" style="12" customWidth="1"/>
    <col min="13" max="16384" width="11.5" style="12"/>
  </cols>
  <sheetData>
    <row r="1" spans="1:14" ht="14" x14ac:dyDescent="0.2">
      <c r="A1" s="207"/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</row>
    <row r="2" spans="1:14" ht="15" x14ac:dyDescent="0.15">
      <c r="A2" s="207"/>
      <c r="B2" s="231"/>
      <c r="C2" s="231"/>
      <c r="D2" s="231"/>
      <c r="E2" s="231"/>
      <c r="F2" s="231"/>
      <c r="G2" s="231"/>
      <c r="H2" s="231"/>
      <c r="I2" s="232"/>
      <c r="J2" s="242" t="s">
        <v>122</v>
      </c>
      <c r="K2" s="243"/>
      <c r="L2" s="207"/>
    </row>
    <row r="3" spans="1:14" ht="15" x14ac:dyDescent="0.2">
      <c r="A3" s="207"/>
      <c r="B3" s="231"/>
      <c r="C3" s="231"/>
      <c r="D3" s="231"/>
      <c r="E3" s="231"/>
      <c r="F3" s="231"/>
      <c r="G3" s="231"/>
      <c r="H3" s="231"/>
      <c r="I3" s="232"/>
      <c r="J3" s="50" t="s">
        <v>0</v>
      </c>
      <c r="K3" s="61">
        <f ca="1">(CAPTURA!E8)</f>
        <v>46079</v>
      </c>
      <c r="L3" s="207"/>
    </row>
    <row r="4" spans="1:14" ht="15" x14ac:dyDescent="0.2">
      <c r="A4" s="207"/>
      <c r="B4" s="231"/>
      <c r="C4" s="231"/>
      <c r="D4" s="231"/>
      <c r="E4" s="231"/>
      <c r="F4" s="231"/>
      <c r="G4" s="231"/>
      <c r="H4" s="231"/>
      <c r="I4" s="232"/>
      <c r="J4" s="50" t="s">
        <v>120</v>
      </c>
      <c r="K4" s="62">
        <f>(CAPTURA!E9)</f>
        <v>0</v>
      </c>
      <c r="L4" s="207"/>
    </row>
    <row r="5" spans="1:14" ht="15" x14ac:dyDescent="0.2">
      <c r="A5" s="207"/>
      <c r="B5" s="231"/>
      <c r="C5" s="231"/>
      <c r="D5" s="231"/>
      <c r="E5" s="231"/>
      <c r="F5" s="231"/>
      <c r="G5" s="231"/>
      <c r="H5" s="231"/>
      <c r="I5" s="232"/>
      <c r="J5" s="63"/>
      <c r="K5" s="64"/>
      <c r="L5" s="207"/>
    </row>
    <row r="6" spans="1:14" ht="5" customHeight="1" x14ac:dyDescent="0.2">
      <c r="A6" s="207"/>
      <c r="B6" s="207"/>
      <c r="C6" s="207"/>
      <c r="D6" s="207"/>
      <c r="E6" s="207"/>
      <c r="F6" s="207"/>
      <c r="G6" s="207"/>
      <c r="H6" s="207"/>
      <c r="I6" s="207"/>
      <c r="J6" s="207"/>
      <c r="K6" s="207"/>
      <c r="L6" s="207"/>
    </row>
    <row r="7" spans="1:14" ht="32" customHeight="1" x14ac:dyDescent="0.15">
      <c r="A7" s="207"/>
      <c r="B7" s="244" t="s">
        <v>162</v>
      </c>
      <c r="C7" s="245"/>
      <c r="D7" s="245"/>
      <c r="E7" s="245"/>
      <c r="F7" s="245"/>
      <c r="G7" s="245"/>
      <c r="H7" s="245"/>
      <c r="I7" s="245"/>
      <c r="J7" s="245"/>
      <c r="K7" s="246"/>
      <c r="L7" s="207"/>
    </row>
    <row r="8" spans="1:14" ht="5" customHeight="1" x14ac:dyDescent="0.2">
      <c r="A8" s="207"/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</row>
    <row r="9" spans="1:14" ht="19" x14ac:dyDescent="0.15">
      <c r="A9" s="207"/>
      <c r="B9" s="185" t="s">
        <v>130</v>
      </c>
      <c r="C9" s="186"/>
      <c r="D9" s="186"/>
      <c r="E9" s="186"/>
      <c r="F9" s="186"/>
      <c r="G9" s="186"/>
      <c r="H9" s="186"/>
      <c r="I9" s="186"/>
      <c r="J9" s="186"/>
      <c r="K9" s="187"/>
      <c r="L9" s="207"/>
    </row>
    <row r="10" spans="1:14" ht="15" x14ac:dyDescent="0.15">
      <c r="A10" s="207"/>
      <c r="B10" s="53" t="s">
        <v>97</v>
      </c>
      <c r="C10" s="250">
        <f>(CAPTURA!E34)</f>
        <v>0</v>
      </c>
      <c r="D10" s="251"/>
      <c r="E10" s="251"/>
      <c r="F10" s="251"/>
      <c r="G10" s="252"/>
      <c r="H10" s="54" t="s">
        <v>6</v>
      </c>
      <c r="I10" s="399">
        <f>(CAPTURA!E35)</f>
        <v>0</v>
      </c>
      <c r="J10" s="400"/>
      <c r="K10" s="401"/>
      <c r="L10" s="207"/>
    </row>
    <row r="11" spans="1:14" ht="15" x14ac:dyDescent="0.15">
      <c r="A11" s="207"/>
      <c r="B11" s="55" t="s">
        <v>13</v>
      </c>
      <c r="C11" s="222">
        <f>(CAPTURA!E36)</f>
        <v>0</v>
      </c>
      <c r="D11" s="192"/>
      <c r="E11" s="192"/>
      <c r="F11" s="192"/>
      <c r="G11" s="223"/>
      <c r="H11" s="56" t="s">
        <v>22</v>
      </c>
      <c r="I11" s="188">
        <f>(CAPTURA!E42)</f>
        <v>0</v>
      </c>
      <c r="J11" s="189"/>
      <c r="K11" s="190"/>
      <c r="L11" s="207"/>
    </row>
    <row r="12" spans="1:14" ht="15" x14ac:dyDescent="0.15">
      <c r="A12" s="207"/>
      <c r="B12" s="55" t="s">
        <v>158</v>
      </c>
      <c r="C12" s="188">
        <f>(CAPTURA!E37)</f>
        <v>0</v>
      </c>
      <c r="D12" s="189"/>
      <c r="E12" s="189"/>
      <c r="F12" s="189"/>
      <c r="G12" s="459"/>
      <c r="H12" s="56"/>
      <c r="I12" s="188"/>
      <c r="J12" s="189"/>
      <c r="K12" s="190"/>
      <c r="L12" s="207"/>
    </row>
    <row r="13" spans="1:14" ht="15" x14ac:dyDescent="0.15">
      <c r="A13" s="207"/>
      <c r="B13" s="55" t="s">
        <v>15</v>
      </c>
      <c r="C13" s="222">
        <f>(CAPTURA!E38)</f>
        <v>0</v>
      </c>
      <c r="D13" s="192"/>
      <c r="E13" s="192"/>
      <c r="F13" s="192"/>
      <c r="G13" s="223"/>
      <c r="H13" s="56"/>
      <c r="I13" s="188"/>
      <c r="J13" s="189"/>
      <c r="K13" s="190"/>
      <c r="L13" s="207"/>
    </row>
    <row r="14" spans="1:14" ht="15" x14ac:dyDescent="0.15">
      <c r="A14" s="207"/>
      <c r="B14" s="55" t="s">
        <v>16</v>
      </c>
      <c r="C14" s="222">
        <f>(CAPTURA!E39)</f>
        <v>0</v>
      </c>
      <c r="D14" s="192"/>
      <c r="E14" s="192"/>
      <c r="F14" s="192"/>
      <c r="G14" s="223"/>
      <c r="H14" s="56" t="s">
        <v>146</v>
      </c>
      <c r="I14" s="194">
        <f>(CAPTURA!J50)</f>
        <v>45944</v>
      </c>
      <c r="J14" s="195"/>
      <c r="K14" s="196"/>
      <c r="L14" s="207"/>
      <c r="N14" s="40"/>
    </row>
    <row r="15" spans="1:14" ht="15" x14ac:dyDescent="0.15">
      <c r="A15" s="207"/>
      <c r="B15" s="59" t="s">
        <v>17</v>
      </c>
      <c r="C15" s="224">
        <f>(CAPTURA!E40)</f>
        <v>0</v>
      </c>
      <c r="D15" s="225"/>
      <c r="E15" s="225"/>
      <c r="F15" s="225"/>
      <c r="G15" s="226"/>
      <c r="H15" s="60"/>
      <c r="I15" s="197"/>
      <c r="J15" s="198"/>
      <c r="K15" s="199"/>
      <c r="L15" s="207"/>
    </row>
    <row r="16" spans="1:14" ht="5" customHeight="1" x14ac:dyDescent="0.2">
      <c r="A16" s="207"/>
      <c r="B16" s="207"/>
      <c r="C16" s="207"/>
      <c r="D16" s="207"/>
      <c r="E16" s="207"/>
      <c r="F16" s="207"/>
      <c r="G16" s="207"/>
      <c r="H16" s="207"/>
      <c r="I16" s="207"/>
      <c r="J16" s="207"/>
      <c r="K16" s="207"/>
      <c r="L16" s="207"/>
    </row>
    <row r="17" spans="1:12" ht="19" x14ac:dyDescent="0.15">
      <c r="A17" s="207"/>
      <c r="B17" s="185" t="s">
        <v>81</v>
      </c>
      <c r="C17" s="186"/>
      <c r="D17" s="186"/>
      <c r="E17" s="186"/>
      <c r="F17" s="186"/>
      <c r="G17" s="186"/>
      <c r="H17" s="186"/>
      <c r="I17" s="186"/>
      <c r="J17" s="186"/>
      <c r="K17" s="187"/>
      <c r="L17" s="207"/>
    </row>
    <row r="18" spans="1:12" ht="15" x14ac:dyDescent="0.15">
      <c r="A18" s="207"/>
      <c r="B18" s="53" t="s">
        <v>99</v>
      </c>
      <c r="C18" s="250" t="str">
        <f>(CAPTURA!I17)</f>
        <v>SANTTE RESIDENCIAL</v>
      </c>
      <c r="D18" s="251"/>
      <c r="E18" s="251"/>
      <c r="F18" s="251"/>
      <c r="G18" s="252"/>
      <c r="H18" s="54" t="s">
        <v>100</v>
      </c>
      <c r="I18" s="417">
        <f>(CAPTURA!I24)</f>
        <v>166.929</v>
      </c>
      <c r="J18" s="418"/>
      <c r="K18" s="419"/>
      <c r="L18" s="207"/>
    </row>
    <row r="19" spans="1:12" ht="15" x14ac:dyDescent="0.15">
      <c r="A19" s="207"/>
      <c r="B19" s="55" t="s">
        <v>75</v>
      </c>
      <c r="C19" s="222">
        <f>(CAPTURA!I19)</f>
        <v>45</v>
      </c>
      <c r="D19" s="192"/>
      <c r="E19" s="192"/>
      <c r="F19" s="192"/>
      <c r="G19" s="223"/>
      <c r="H19" s="56" t="s">
        <v>101</v>
      </c>
      <c r="I19" s="236">
        <f>(CAPTURA!I25)</f>
        <v>12580.19876714052</v>
      </c>
      <c r="J19" s="237">
        <f>(CAPTURA!I25)</f>
        <v>12580.19876714052</v>
      </c>
      <c r="K19" s="238"/>
      <c r="L19" s="207"/>
    </row>
    <row r="20" spans="1:12" ht="15" x14ac:dyDescent="0.15">
      <c r="A20" s="207"/>
      <c r="B20" s="55" t="s">
        <v>76</v>
      </c>
      <c r="C20" s="222">
        <f>(CAPTURA!I20)</f>
        <v>16</v>
      </c>
      <c r="D20" s="192"/>
      <c r="E20" s="192"/>
      <c r="F20" s="192"/>
      <c r="G20" s="223"/>
      <c r="H20" s="56" t="s">
        <v>80</v>
      </c>
      <c r="I20" s="236">
        <f>(CAPTURA!I26)</f>
        <v>2100000</v>
      </c>
      <c r="J20" s="237">
        <f>(CAPTURA!I26)</f>
        <v>2100000</v>
      </c>
      <c r="K20" s="238"/>
      <c r="L20" s="207"/>
    </row>
    <row r="21" spans="1:12" ht="15" x14ac:dyDescent="0.15">
      <c r="A21" s="207"/>
      <c r="B21" s="55" t="s">
        <v>98</v>
      </c>
      <c r="C21" s="222">
        <f>(CAPTURA!I21)</f>
        <v>114</v>
      </c>
      <c r="D21" s="192"/>
      <c r="E21" s="192"/>
      <c r="F21" s="192"/>
      <c r="G21" s="223"/>
      <c r="H21" s="56" t="s">
        <v>142</v>
      </c>
      <c r="I21" s="239" t="str">
        <f>(CAPTURA!I18)</f>
        <v>TERRENO</v>
      </c>
      <c r="J21" s="240"/>
      <c r="K21" s="241"/>
      <c r="L21" s="207"/>
    </row>
    <row r="22" spans="1:12" ht="15" x14ac:dyDescent="0.15">
      <c r="A22" s="207"/>
      <c r="B22" s="59" t="s">
        <v>79</v>
      </c>
      <c r="C22" s="224" t="str">
        <f>(CAPTURA!I22)</f>
        <v>AZALEA</v>
      </c>
      <c r="D22" s="225"/>
      <c r="E22" s="225"/>
      <c r="F22" s="225"/>
      <c r="G22" s="226"/>
      <c r="H22" s="60"/>
      <c r="I22" s="247"/>
      <c r="J22" s="248"/>
      <c r="K22" s="249"/>
      <c r="L22" s="207"/>
    </row>
    <row r="23" spans="1:12" ht="5" customHeight="1" x14ac:dyDescent="0.2">
      <c r="A23" s="207"/>
      <c r="B23" s="207"/>
      <c r="C23" s="207"/>
      <c r="D23" s="207"/>
      <c r="E23" s="207"/>
      <c r="F23" s="207"/>
      <c r="G23" s="207"/>
      <c r="H23" s="207"/>
      <c r="I23" s="207"/>
      <c r="J23" s="207"/>
      <c r="K23" s="207"/>
      <c r="L23" s="207"/>
    </row>
    <row r="24" spans="1:12" ht="19" x14ac:dyDescent="0.15">
      <c r="A24" s="207"/>
      <c r="B24" s="214" t="s">
        <v>133</v>
      </c>
      <c r="C24" s="215"/>
      <c r="D24" s="215"/>
      <c r="E24" s="215"/>
      <c r="F24" s="215"/>
      <c r="G24" s="215"/>
      <c r="H24" s="215"/>
      <c r="I24" s="215"/>
      <c r="J24" s="215"/>
      <c r="K24" s="216"/>
      <c r="L24" s="207"/>
    </row>
    <row r="25" spans="1:12" ht="15" x14ac:dyDescent="0.15">
      <c r="A25" s="207"/>
      <c r="B25" s="183" t="s">
        <v>156</v>
      </c>
      <c r="C25" s="263"/>
      <c r="D25" s="264"/>
      <c r="E25" s="257" t="str">
        <f>(CAPTURA!I28)</f>
        <v>CREDITO DIRECTO</v>
      </c>
      <c r="F25" s="258"/>
      <c r="G25" s="258"/>
      <c r="H25" s="258"/>
      <c r="I25" s="258"/>
      <c r="J25" s="258"/>
      <c r="K25" s="259"/>
      <c r="L25" s="207"/>
    </row>
    <row r="26" spans="1:12" ht="15" x14ac:dyDescent="0.15">
      <c r="A26" s="207"/>
      <c r="B26" s="457" t="s">
        <v>157</v>
      </c>
      <c r="C26" s="458"/>
      <c r="D26" s="211"/>
      <c r="E26" s="260" t="str">
        <f>(CAPTURA!I29)</f>
        <v>N/A</v>
      </c>
      <c r="F26" s="261"/>
      <c r="G26" s="261"/>
      <c r="H26" s="261"/>
      <c r="I26" s="261"/>
      <c r="J26" s="261"/>
      <c r="K26" s="262"/>
      <c r="L26" s="207"/>
    </row>
    <row r="27" spans="1:12" ht="15" x14ac:dyDescent="0.2">
      <c r="A27" s="207"/>
      <c r="B27" s="200"/>
      <c r="C27" s="201"/>
      <c r="D27" s="201"/>
      <c r="E27" s="201"/>
      <c r="F27" s="201"/>
      <c r="G27" s="201"/>
      <c r="H27" s="201"/>
      <c r="I27" s="201"/>
      <c r="J27" s="201"/>
      <c r="K27" s="202"/>
      <c r="L27" s="207"/>
    </row>
    <row r="28" spans="1:12" ht="15" x14ac:dyDescent="0.15">
      <c r="A28" s="207"/>
      <c r="B28" s="114" t="s">
        <v>102</v>
      </c>
      <c r="C28" s="455" t="s">
        <v>83</v>
      </c>
      <c r="D28" s="456"/>
      <c r="E28" s="115" t="s">
        <v>84</v>
      </c>
      <c r="F28" s="455" t="s">
        <v>86</v>
      </c>
      <c r="G28" s="456"/>
      <c r="H28" s="115" t="s">
        <v>87</v>
      </c>
      <c r="I28" s="455" t="s">
        <v>140</v>
      </c>
      <c r="J28" s="456"/>
      <c r="K28" s="116" t="s">
        <v>139</v>
      </c>
      <c r="L28" s="207"/>
    </row>
    <row r="29" spans="1:12" ht="15" x14ac:dyDescent="0.2">
      <c r="A29" s="207"/>
      <c r="B29" s="50"/>
      <c r="C29" s="462"/>
      <c r="D29" s="267"/>
      <c r="E29" s="91"/>
      <c r="F29" s="203"/>
      <c r="G29" s="204"/>
      <c r="H29" s="91"/>
      <c r="I29" s="203"/>
      <c r="J29" s="204"/>
      <c r="K29" s="92"/>
      <c r="L29" s="207"/>
    </row>
    <row r="30" spans="1:12" ht="15" x14ac:dyDescent="0.2">
      <c r="A30" s="207"/>
      <c r="B30" s="93">
        <f>(CAPTURA!H32)</f>
        <v>1</v>
      </c>
      <c r="C30" s="255" t="str">
        <f>(CAPTURA!I32)</f>
        <v>SEPARACION</v>
      </c>
      <c r="D30" s="211"/>
      <c r="E30" s="94" t="str">
        <f>(CAPTURA!J32)</f>
        <v>14 ENERO 2026</v>
      </c>
      <c r="F30" s="205">
        <f>(CAPTURA!K32)</f>
        <v>2100000</v>
      </c>
      <c r="G30" s="206">
        <f>(CAPTURA!K32)</f>
        <v>2100000</v>
      </c>
      <c r="H30" s="95">
        <f>(CAPTURA!L32)</f>
        <v>0</v>
      </c>
      <c r="I30" s="208">
        <f>(CAPTURA!M32)</f>
        <v>50000</v>
      </c>
      <c r="J30" s="209">
        <f>(CAPTURA!M32)</f>
        <v>50000</v>
      </c>
      <c r="K30" s="96">
        <f>(CAPTURA!N32)</f>
        <v>50000</v>
      </c>
      <c r="L30" s="207"/>
    </row>
    <row r="31" spans="1:12" ht="15" x14ac:dyDescent="0.2">
      <c r="A31" s="207"/>
      <c r="B31" s="93">
        <f>(CAPTURA!H33)</f>
        <v>2</v>
      </c>
      <c r="C31" s="255" t="str">
        <f>(CAPTURA!I33)</f>
        <v>ENGANCHE</v>
      </c>
      <c r="D31" s="211"/>
      <c r="E31" s="94" t="str">
        <f>(CAPTURA!J33)</f>
        <v>26 ENERO 2026</v>
      </c>
      <c r="F31" s="205">
        <f>(CAPTURA!K33)</f>
        <v>2050000</v>
      </c>
      <c r="G31" s="206">
        <f>(CAPTURA!K33)</f>
        <v>2050000</v>
      </c>
      <c r="H31" s="95">
        <f>(CAPTURA!L33)</f>
        <v>0</v>
      </c>
      <c r="I31" s="208">
        <f>(CAPTURA!M33)</f>
        <v>630000</v>
      </c>
      <c r="J31" s="209">
        <f>(CAPTURA!M33)</f>
        <v>630000</v>
      </c>
      <c r="K31" s="96">
        <f>(CAPTURA!N33)</f>
        <v>630000</v>
      </c>
      <c r="L31" s="207"/>
    </row>
    <row r="32" spans="1:12" ht="15" x14ac:dyDescent="0.2">
      <c r="A32" s="207"/>
      <c r="B32" s="93">
        <f>(CAPTURA!H34)</f>
        <v>3</v>
      </c>
      <c r="C32" s="255" t="str">
        <f>(CAPTURA!I34)</f>
        <v>ESCRITURACIÓN</v>
      </c>
      <c r="D32" s="211"/>
      <c r="E32" s="94" t="str">
        <f>(CAPTURA!J34)</f>
        <v>2 MARZO 2026</v>
      </c>
      <c r="F32" s="205">
        <f>(CAPTURA!K34)</f>
        <v>1420000</v>
      </c>
      <c r="G32" s="206">
        <f>(CAPTURA!K34)</f>
        <v>1420000</v>
      </c>
      <c r="H32" s="95">
        <f>(CAPTURA!L34)</f>
        <v>0</v>
      </c>
      <c r="I32" s="208">
        <f>(CAPTURA!M34)</f>
        <v>1420000</v>
      </c>
      <c r="J32" s="209">
        <f>(CAPTURA!M34)</f>
        <v>1420000</v>
      </c>
      <c r="K32" s="96">
        <f>(CAPTURA!N34)</f>
        <v>1420000</v>
      </c>
      <c r="L32" s="207"/>
    </row>
    <row r="33" spans="1:12" ht="15" x14ac:dyDescent="0.2">
      <c r="A33" s="207"/>
      <c r="B33" s="93">
        <f>(CAPTURA!H35)</f>
        <v>0</v>
      </c>
      <c r="C33" s="255">
        <f>(CAPTURA!I35)</f>
        <v>0</v>
      </c>
      <c r="D33" s="211"/>
      <c r="E33" s="94">
        <f>(CAPTURA!J35)</f>
        <v>0</v>
      </c>
      <c r="F33" s="205">
        <f>(CAPTURA!K35)</f>
        <v>0</v>
      </c>
      <c r="G33" s="206">
        <f>(CAPTURA!K35)</f>
        <v>0</v>
      </c>
      <c r="H33" s="95">
        <f>(CAPTURA!L35)</f>
        <v>0</v>
      </c>
      <c r="I33" s="208">
        <f>(CAPTURA!M35)</f>
        <v>0</v>
      </c>
      <c r="J33" s="209">
        <f>(CAPTURA!M35)</f>
        <v>0</v>
      </c>
      <c r="K33" s="96">
        <f>(CAPTURA!N35)</f>
        <v>0</v>
      </c>
      <c r="L33" s="207"/>
    </row>
    <row r="34" spans="1:12" ht="15" x14ac:dyDescent="0.2">
      <c r="A34" s="207"/>
      <c r="B34" s="93">
        <f>(CAPTURA!H36)</f>
        <v>0</v>
      </c>
      <c r="C34" s="255">
        <f>(CAPTURA!I36)</f>
        <v>0</v>
      </c>
      <c r="D34" s="211"/>
      <c r="E34" s="94">
        <f>(CAPTURA!J36)</f>
        <v>0</v>
      </c>
      <c r="F34" s="205">
        <f>(CAPTURA!K36)</f>
        <v>0</v>
      </c>
      <c r="G34" s="206">
        <f>(CAPTURA!K36)</f>
        <v>0</v>
      </c>
      <c r="H34" s="95">
        <f>(CAPTURA!L36)</f>
        <v>0</v>
      </c>
      <c r="I34" s="208">
        <f>(CAPTURA!M36)</f>
        <v>0</v>
      </c>
      <c r="J34" s="209">
        <f>(CAPTURA!M36)</f>
        <v>0</v>
      </c>
      <c r="K34" s="96">
        <f>(CAPTURA!N36)</f>
        <v>0</v>
      </c>
      <c r="L34" s="207"/>
    </row>
    <row r="35" spans="1:12" ht="15" x14ac:dyDescent="0.2">
      <c r="A35" s="207"/>
      <c r="B35" s="93">
        <f>(CAPTURA!H37)</f>
        <v>0</v>
      </c>
      <c r="C35" s="255">
        <f>(CAPTURA!I37)</f>
        <v>0</v>
      </c>
      <c r="D35" s="211"/>
      <c r="E35" s="94">
        <f>(CAPTURA!J37)</f>
        <v>0</v>
      </c>
      <c r="F35" s="205">
        <f>(CAPTURA!K37)</f>
        <v>0</v>
      </c>
      <c r="G35" s="206">
        <f>(CAPTURA!K37)</f>
        <v>0</v>
      </c>
      <c r="H35" s="95">
        <f>(CAPTURA!L37)</f>
        <v>0</v>
      </c>
      <c r="I35" s="208">
        <f>(CAPTURA!M37)</f>
        <v>0</v>
      </c>
      <c r="J35" s="209">
        <f>(CAPTURA!M37)</f>
        <v>0</v>
      </c>
      <c r="K35" s="96">
        <f>(CAPTURA!N37)</f>
        <v>0</v>
      </c>
      <c r="L35" s="207"/>
    </row>
    <row r="36" spans="1:12" ht="15" x14ac:dyDescent="0.2">
      <c r="A36" s="207"/>
      <c r="B36" s="93">
        <f>(CAPTURA!H38)</f>
        <v>0</v>
      </c>
      <c r="C36" s="255">
        <f>(CAPTURA!I38)</f>
        <v>0</v>
      </c>
      <c r="D36" s="211"/>
      <c r="E36" s="94">
        <f>(CAPTURA!J38)</f>
        <v>0</v>
      </c>
      <c r="F36" s="205">
        <f>(CAPTURA!K38)</f>
        <v>0</v>
      </c>
      <c r="G36" s="206">
        <f>(CAPTURA!K38)</f>
        <v>0</v>
      </c>
      <c r="H36" s="95">
        <f>(CAPTURA!L38)</f>
        <v>0</v>
      </c>
      <c r="I36" s="208">
        <f>(CAPTURA!M38)</f>
        <v>0</v>
      </c>
      <c r="J36" s="209">
        <f>(CAPTURA!M38)</f>
        <v>0</v>
      </c>
      <c r="K36" s="96">
        <f>(CAPTURA!N38)</f>
        <v>0</v>
      </c>
      <c r="L36" s="207"/>
    </row>
    <row r="37" spans="1:12" ht="15" x14ac:dyDescent="0.2">
      <c r="A37" s="207"/>
      <c r="B37" s="93">
        <f>(CAPTURA!H39)</f>
        <v>0</v>
      </c>
      <c r="C37" s="255">
        <f>(CAPTURA!I39)</f>
        <v>0</v>
      </c>
      <c r="D37" s="211"/>
      <c r="E37" s="94">
        <f>(CAPTURA!J39)</f>
        <v>0</v>
      </c>
      <c r="F37" s="205">
        <f>(CAPTURA!K39)</f>
        <v>0</v>
      </c>
      <c r="G37" s="206">
        <f>(CAPTURA!K39)</f>
        <v>0</v>
      </c>
      <c r="H37" s="95">
        <f>(CAPTURA!L39)</f>
        <v>0</v>
      </c>
      <c r="I37" s="208">
        <f>(CAPTURA!M39)</f>
        <v>0</v>
      </c>
      <c r="J37" s="209">
        <f>(CAPTURA!M39)</f>
        <v>0</v>
      </c>
      <c r="K37" s="96">
        <f>(CAPTURA!N39)</f>
        <v>0</v>
      </c>
      <c r="L37" s="207"/>
    </row>
    <row r="38" spans="1:12" ht="15" x14ac:dyDescent="0.2">
      <c r="A38" s="207"/>
      <c r="B38" s="93">
        <f>(CAPTURA!H40)</f>
        <v>0</v>
      </c>
      <c r="C38" s="255">
        <f>(CAPTURA!I40)</f>
        <v>0</v>
      </c>
      <c r="D38" s="211"/>
      <c r="E38" s="94">
        <f>(CAPTURA!J40)</f>
        <v>0</v>
      </c>
      <c r="F38" s="205">
        <f>(CAPTURA!K40)</f>
        <v>0</v>
      </c>
      <c r="G38" s="206">
        <f>(CAPTURA!K40)</f>
        <v>0</v>
      </c>
      <c r="H38" s="95">
        <f>(CAPTURA!L40)</f>
        <v>0</v>
      </c>
      <c r="I38" s="208">
        <f>(CAPTURA!M40)</f>
        <v>0</v>
      </c>
      <c r="J38" s="209">
        <f>(CAPTURA!M40)</f>
        <v>0</v>
      </c>
      <c r="K38" s="96">
        <f>(CAPTURA!N40)</f>
        <v>0</v>
      </c>
      <c r="L38" s="207"/>
    </row>
    <row r="39" spans="1:12" ht="15" x14ac:dyDescent="0.2">
      <c r="A39" s="207"/>
      <c r="B39" s="93">
        <f>(CAPTURA!H41)</f>
        <v>0</v>
      </c>
      <c r="C39" s="255">
        <f>(CAPTURA!I41)</f>
        <v>0</v>
      </c>
      <c r="D39" s="211"/>
      <c r="E39" s="94">
        <f>(CAPTURA!J41)</f>
        <v>0</v>
      </c>
      <c r="F39" s="205">
        <f>(CAPTURA!K41)</f>
        <v>0</v>
      </c>
      <c r="G39" s="206">
        <f>(CAPTURA!K41)</f>
        <v>0</v>
      </c>
      <c r="H39" s="95">
        <f>(CAPTURA!L41)</f>
        <v>0</v>
      </c>
      <c r="I39" s="208">
        <f>(CAPTURA!M41)</f>
        <v>0</v>
      </c>
      <c r="J39" s="209">
        <f>(CAPTURA!M41)</f>
        <v>0</v>
      </c>
      <c r="K39" s="96">
        <f>(CAPTURA!N41)</f>
        <v>0</v>
      </c>
      <c r="L39" s="207"/>
    </row>
    <row r="40" spans="1:12" ht="15" x14ac:dyDescent="0.2">
      <c r="A40" s="207"/>
      <c r="B40" s="93">
        <f>(CAPTURA!H42)</f>
        <v>0</v>
      </c>
      <c r="C40" s="255">
        <f>(CAPTURA!I42)</f>
        <v>0</v>
      </c>
      <c r="D40" s="211"/>
      <c r="E40" s="94">
        <f>(CAPTURA!J42)</f>
        <v>0</v>
      </c>
      <c r="F40" s="205">
        <f>(CAPTURA!K42)</f>
        <v>0</v>
      </c>
      <c r="G40" s="206">
        <f>(CAPTURA!K42)</f>
        <v>0</v>
      </c>
      <c r="H40" s="95">
        <f>(CAPTURA!L42)</f>
        <v>0</v>
      </c>
      <c r="I40" s="208">
        <f>(CAPTURA!M42)</f>
        <v>0</v>
      </c>
      <c r="J40" s="209">
        <f>(CAPTURA!M42)</f>
        <v>0</v>
      </c>
      <c r="K40" s="96">
        <f>(CAPTURA!N42)</f>
        <v>0</v>
      </c>
      <c r="L40" s="207"/>
    </row>
    <row r="41" spans="1:12" ht="15" x14ac:dyDescent="0.2">
      <c r="A41" s="207"/>
      <c r="B41" s="93">
        <f>(CAPTURA!H44)</f>
        <v>0</v>
      </c>
      <c r="C41" s="210">
        <f>(CAPTURA!I44)</f>
        <v>0</v>
      </c>
      <c r="D41" s="211"/>
      <c r="E41" s="94">
        <f>(CAPTURA!J44)</f>
        <v>0</v>
      </c>
      <c r="F41" s="205">
        <f>(CAPTURA!K44)</f>
        <v>0</v>
      </c>
      <c r="G41" s="206">
        <f>(CAPTURA!K43)</f>
        <v>0</v>
      </c>
      <c r="H41" s="95">
        <f>(CAPTURA!L44)</f>
        <v>0</v>
      </c>
      <c r="I41" s="208">
        <f>(CAPTURA!M44)</f>
        <v>0</v>
      </c>
      <c r="J41" s="209">
        <f>(CAPTURA!M43)</f>
        <v>0</v>
      </c>
      <c r="K41" s="96">
        <f>(CAPTURA!N44)</f>
        <v>0</v>
      </c>
      <c r="L41" s="207"/>
    </row>
    <row r="42" spans="1:12" ht="15" x14ac:dyDescent="0.2">
      <c r="A42" s="207"/>
      <c r="B42" s="93">
        <f>(CAPTURA!H45)</f>
        <v>0</v>
      </c>
      <c r="C42" s="210">
        <f>(CAPTURA!I45)</f>
        <v>0</v>
      </c>
      <c r="D42" s="211"/>
      <c r="E42" s="94">
        <f>(CAPTURA!J45)</f>
        <v>0</v>
      </c>
      <c r="F42" s="205">
        <f>(CAPTURA!K45)</f>
        <v>0</v>
      </c>
      <c r="G42" s="206">
        <f>(CAPTURA!K44)</f>
        <v>0</v>
      </c>
      <c r="H42" s="95">
        <f>(CAPTURA!L45)</f>
        <v>0</v>
      </c>
      <c r="I42" s="208">
        <f>(CAPTURA!M45)</f>
        <v>0</v>
      </c>
      <c r="J42" s="209">
        <f>(CAPTURA!M44)</f>
        <v>0</v>
      </c>
      <c r="K42" s="96">
        <f>(CAPTURA!N45)</f>
        <v>0</v>
      </c>
      <c r="L42" s="207"/>
    </row>
    <row r="43" spans="1:12" ht="15" x14ac:dyDescent="0.2">
      <c r="A43" s="207"/>
      <c r="B43" s="93">
        <f>(CAPTURA!H46)</f>
        <v>0</v>
      </c>
      <c r="C43" s="210">
        <f>(CAPTURA!I46)</f>
        <v>0</v>
      </c>
      <c r="D43" s="211"/>
      <c r="E43" s="94">
        <f>(CAPTURA!J46)</f>
        <v>0</v>
      </c>
      <c r="F43" s="205">
        <f>(CAPTURA!K46)</f>
        <v>0</v>
      </c>
      <c r="G43" s="206">
        <f>(CAPTURA!K45)</f>
        <v>0</v>
      </c>
      <c r="H43" s="95">
        <f>(CAPTURA!L46)</f>
        <v>0</v>
      </c>
      <c r="I43" s="208">
        <f>(CAPTURA!M46)</f>
        <v>0</v>
      </c>
      <c r="J43" s="209">
        <f>(CAPTURA!M45)</f>
        <v>0</v>
      </c>
      <c r="K43" s="96">
        <f>(CAPTURA!N46)</f>
        <v>0</v>
      </c>
      <c r="L43" s="207"/>
    </row>
    <row r="44" spans="1:12" ht="16" thickBot="1" x14ac:dyDescent="0.25">
      <c r="A44" s="207"/>
      <c r="B44" s="50"/>
      <c r="C44" s="255"/>
      <c r="D44" s="211"/>
      <c r="E44" s="91"/>
      <c r="F44" s="447"/>
      <c r="G44" s="448"/>
      <c r="H44" s="97"/>
      <c r="I44" s="449"/>
      <c r="J44" s="450"/>
      <c r="K44" s="98"/>
      <c r="L44" s="207"/>
    </row>
    <row r="45" spans="1:12" customFormat="1" ht="16" thickTop="1" x14ac:dyDescent="0.2">
      <c r="A45" s="207"/>
      <c r="B45" s="50"/>
      <c r="C45" s="460" t="str">
        <f>(CAPTURA!I48)</f>
        <v>VALOR TOTAL:</v>
      </c>
      <c r="D45" s="461"/>
      <c r="E45" s="48"/>
      <c r="F45" s="275">
        <f>(CAPTURA!K48)</f>
        <v>0</v>
      </c>
      <c r="G45" s="276">
        <f>(CAPTURA!K48)</f>
        <v>0</v>
      </c>
      <c r="H45" s="49">
        <f>(CAPTURA!L48)</f>
        <v>0</v>
      </c>
      <c r="I45" s="229">
        <f>(CAPTURA!M48)</f>
        <v>2100000</v>
      </c>
      <c r="J45" s="230">
        <f>(CAPTURA!M48)</f>
        <v>2100000</v>
      </c>
      <c r="K45" s="69">
        <f>(CAPTURA!N48)</f>
        <v>2100000</v>
      </c>
      <c r="L45" s="207"/>
    </row>
    <row r="46" spans="1:12" ht="15" x14ac:dyDescent="0.2">
      <c r="A46" s="207"/>
      <c r="B46" s="63"/>
      <c r="C46" s="227"/>
      <c r="D46" s="228"/>
      <c r="E46" s="99"/>
      <c r="F46" s="227"/>
      <c r="G46" s="228"/>
      <c r="H46" s="99"/>
      <c r="I46" s="227"/>
      <c r="J46" s="228">
        <f>(CAPTURA!M49)</f>
        <v>0</v>
      </c>
      <c r="K46" s="64"/>
      <c r="L46" s="207"/>
    </row>
    <row r="47" spans="1:12" ht="5.25" customHeight="1" x14ac:dyDescent="0.2">
      <c r="A47" s="20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207"/>
    </row>
    <row r="48" spans="1:12" ht="15" x14ac:dyDescent="0.2">
      <c r="A48" s="207"/>
      <c r="B48" s="271" t="s">
        <v>151</v>
      </c>
      <c r="C48" s="272"/>
      <c r="D48"/>
      <c r="E48" s="271" t="s">
        <v>155</v>
      </c>
      <c r="F48" s="454"/>
      <c r="G48" s="454"/>
      <c r="H48" s="454"/>
      <c r="I48" s="454"/>
      <c r="J48" s="454"/>
      <c r="K48" s="272"/>
      <c r="L48" s="207"/>
    </row>
    <row r="49" spans="1:15" ht="15" x14ac:dyDescent="0.15">
      <c r="A49" s="207"/>
      <c r="B49" s="183" t="s">
        <v>147</v>
      </c>
      <c r="C49" s="184"/>
      <c r="D49" s="102"/>
      <c r="E49" s="451"/>
      <c r="F49" s="452"/>
      <c r="G49" s="452"/>
      <c r="H49" s="452"/>
      <c r="I49" s="452"/>
      <c r="J49" s="452"/>
      <c r="K49" s="453"/>
      <c r="L49" s="207"/>
    </row>
    <row r="50" spans="1:15" ht="15" x14ac:dyDescent="0.15">
      <c r="A50" s="207"/>
      <c r="B50" s="108" t="s">
        <v>148</v>
      </c>
      <c r="C50" s="107" t="s">
        <v>160</v>
      </c>
      <c r="D50" s="105"/>
      <c r="E50" s="451"/>
      <c r="F50" s="452"/>
      <c r="G50" s="452"/>
      <c r="H50" s="452"/>
      <c r="I50" s="452"/>
      <c r="J50" s="452"/>
      <c r="K50" s="453"/>
      <c r="L50" s="207"/>
    </row>
    <row r="51" spans="1:15" ht="15" x14ac:dyDescent="0.15">
      <c r="A51" s="207"/>
      <c r="B51" s="108" t="s">
        <v>149</v>
      </c>
      <c r="C51" s="107">
        <v>112115234</v>
      </c>
      <c r="D51" s="105"/>
      <c r="E51" s="451"/>
      <c r="F51" s="452"/>
      <c r="G51" s="452"/>
      <c r="H51" s="452"/>
      <c r="I51" s="452"/>
      <c r="J51" s="452"/>
      <c r="K51" s="453"/>
      <c r="L51" s="207"/>
    </row>
    <row r="52" spans="1:15" ht="15" x14ac:dyDescent="0.15">
      <c r="A52" s="207"/>
      <c r="B52" s="109" t="s">
        <v>150</v>
      </c>
      <c r="C52" s="120" t="s">
        <v>161</v>
      </c>
      <c r="D52" s="106"/>
      <c r="E52" s="444"/>
      <c r="F52" s="445"/>
      <c r="G52" s="445"/>
      <c r="H52" s="445"/>
      <c r="I52" s="445"/>
      <c r="J52" s="445"/>
      <c r="K52" s="446"/>
      <c r="L52" s="207"/>
    </row>
    <row r="53" spans="1:15" ht="14" x14ac:dyDescent="0.2">
      <c r="A53" s="20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207"/>
    </row>
    <row r="54" spans="1:15" ht="12.75" customHeight="1" x14ac:dyDescent="0.15">
      <c r="A54" s="207"/>
      <c r="B54" s="256" t="s">
        <v>230</v>
      </c>
      <c r="C54" s="256"/>
      <c r="D54" s="256"/>
      <c r="E54" s="256"/>
      <c r="F54" s="256"/>
      <c r="G54" s="256"/>
      <c r="H54" s="256"/>
      <c r="I54" s="256"/>
      <c r="J54" s="256"/>
      <c r="K54" s="256"/>
      <c r="L54" s="207"/>
    </row>
    <row r="55" spans="1:15" ht="12.75" customHeight="1" x14ac:dyDescent="0.2">
      <c r="A55" s="207"/>
      <c r="B55" s="256"/>
      <c r="C55" s="256"/>
      <c r="D55" s="256"/>
      <c r="E55" s="256"/>
      <c r="F55" s="256"/>
      <c r="G55" s="256"/>
      <c r="H55" s="256"/>
      <c r="I55" s="256"/>
      <c r="J55" s="256"/>
      <c r="K55" s="256"/>
      <c r="L55" s="207"/>
      <c r="O55" s="110"/>
    </row>
    <row r="56" spans="1:15" ht="12.75" customHeight="1" x14ac:dyDescent="0.15">
      <c r="A56" s="207"/>
      <c r="B56" s="256"/>
      <c r="C56" s="256"/>
      <c r="D56" s="256"/>
      <c r="E56" s="256"/>
      <c r="F56" s="256"/>
      <c r="G56" s="256"/>
      <c r="H56" s="256"/>
      <c r="I56" s="256"/>
      <c r="J56" s="256"/>
      <c r="K56" s="256"/>
      <c r="L56" s="207"/>
    </row>
    <row r="57" spans="1:15" ht="12.75" customHeight="1" x14ac:dyDescent="0.15">
      <c r="A57" s="207"/>
      <c r="B57" s="256"/>
      <c r="C57" s="256"/>
      <c r="D57" s="256"/>
      <c r="E57" s="256"/>
      <c r="F57" s="256"/>
      <c r="G57" s="256"/>
      <c r="H57" s="256"/>
      <c r="I57" s="256"/>
      <c r="J57" s="256"/>
      <c r="K57" s="256"/>
      <c r="L57" s="207"/>
    </row>
    <row r="58" spans="1:15" ht="12.75" customHeight="1" x14ac:dyDescent="0.15">
      <c r="A58" s="207"/>
      <c r="B58" s="256"/>
      <c r="C58" s="256"/>
      <c r="D58" s="256"/>
      <c r="E58" s="256"/>
      <c r="F58" s="256"/>
      <c r="G58" s="256"/>
      <c r="H58" s="256"/>
      <c r="I58" s="256"/>
      <c r="J58" s="256"/>
      <c r="K58" s="256"/>
      <c r="L58" s="207"/>
    </row>
    <row r="59" spans="1:15" ht="12.75" customHeight="1" x14ac:dyDescent="0.15">
      <c r="A59" s="207"/>
      <c r="B59" s="256"/>
      <c r="C59" s="256"/>
      <c r="D59" s="256"/>
      <c r="E59" s="256"/>
      <c r="F59" s="256"/>
      <c r="G59" s="256"/>
      <c r="H59" s="256"/>
      <c r="I59" s="256"/>
      <c r="J59" s="256"/>
      <c r="K59" s="256"/>
      <c r="L59" s="207"/>
    </row>
    <row r="60" spans="1:15" ht="12.75" customHeight="1" x14ac:dyDescent="0.15">
      <c r="A60" s="207"/>
      <c r="B60" s="256"/>
      <c r="C60" s="256"/>
      <c r="D60" s="256"/>
      <c r="E60" s="256"/>
      <c r="F60" s="256"/>
      <c r="G60" s="256"/>
      <c r="H60" s="256"/>
      <c r="I60" s="256"/>
      <c r="J60" s="256"/>
      <c r="K60" s="256"/>
      <c r="L60" s="207"/>
    </row>
    <row r="61" spans="1:15" ht="12.75" customHeight="1" x14ac:dyDescent="0.15">
      <c r="A61" s="207"/>
      <c r="B61" s="256"/>
      <c r="C61" s="256"/>
      <c r="D61" s="256"/>
      <c r="E61" s="256"/>
      <c r="F61" s="256"/>
      <c r="G61" s="256"/>
      <c r="H61" s="256"/>
      <c r="I61" s="256"/>
      <c r="J61" s="256"/>
      <c r="K61" s="256"/>
      <c r="L61" s="207"/>
    </row>
    <row r="62" spans="1:15" ht="12.75" customHeight="1" x14ac:dyDescent="0.15">
      <c r="A62" s="207"/>
      <c r="B62" s="256"/>
      <c r="C62" s="256"/>
      <c r="D62" s="256"/>
      <c r="E62" s="256"/>
      <c r="F62" s="256"/>
      <c r="G62" s="256"/>
      <c r="H62" s="256"/>
      <c r="I62" s="256"/>
      <c r="J62" s="256"/>
      <c r="K62" s="256"/>
      <c r="L62" s="207"/>
    </row>
    <row r="63" spans="1:15" ht="12.75" customHeight="1" x14ac:dyDescent="0.15">
      <c r="A63" s="207"/>
      <c r="B63" s="256"/>
      <c r="C63" s="256"/>
      <c r="D63" s="256"/>
      <c r="E63" s="256"/>
      <c r="F63" s="256"/>
      <c r="G63" s="256"/>
      <c r="H63" s="256"/>
      <c r="I63" s="256"/>
      <c r="J63" s="256"/>
      <c r="K63" s="256"/>
      <c r="L63" s="207"/>
    </row>
    <row r="64" spans="1:15" ht="12.75" customHeight="1" x14ac:dyDescent="0.15">
      <c r="A64" s="207"/>
      <c r="B64" s="256"/>
      <c r="C64" s="256"/>
      <c r="D64" s="256"/>
      <c r="E64" s="256"/>
      <c r="F64" s="256"/>
      <c r="G64" s="256"/>
      <c r="H64" s="256"/>
      <c r="I64" s="256"/>
      <c r="J64" s="256"/>
      <c r="K64" s="256"/>
      <c r="L64" s="207"/>
    </row>
    <row r="65" spans="1:12" ht="12.75" customHeight="1" x14ac:dyDescent="0.15">
      <c r="A65" s="207"/>
      <c r="B65" s="256"/>
      <c r="C65" s="256"/>
      <c r="D65" s="256"/>
      <c r="E65" s="256"/>
      <c r="F65" s="256"/>
      <c r="G65" s="256"/>
      <c r="H65" s="256"/>
      <c r="I65" s="256"/>
      <c r="J65" s="256"/>
      <c r="K65" s="256"/>
      <c r="L65" s="207"/>
    </row>
    <row r="66" spans="1:12" ht="12.75" customHeight="1" x14ac:dyDescent="0.15">
      <c r="A66" s="207"/>
      <c r="B66" s="256"/>
      <c r="C66" s="256"/>
      <c r="D66" s="256"/>
      <c r="E66" s="256"/>
      <c r="F66" s="256"/>
      <c r="G66" s="256"/>
      <c r="H66" s="256"/>
      <c r="I66" s="256"/>
      <c r="J66" s="256"/>
      <c r="K66" s="256"/>
      <c r="L66" s="207"/>
    </row>
    <row r="67" spans="1:12" ht="12.75" customHeight="1" x14ac:dyDescent="0.2">
      <c r="A67" s="207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207"/>
    </row>
    <row r="68" spans="1:12" ht="12.75" customHeight="1" x14ac:dyDescent="0.2">
      <c r="A68" s="207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207"/>
    </row>
    <row r="69" spans="1:12" ht="12.75" customHeight="1" x14ac:dyDescent="0.2">
      <c r="A69" s="207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207"/>
    </row>
    <row r="70" spans="1:12" ht="12.75" customHeight="1" x14ac:dyDescent="0.2">
      <c r="A70" s="207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207"/>
    </row>
    <row r="71" spans="1:12" ht="12.75" customHeight="1" x14ac:dyDescent="0.2">
      <c r="A71" s="207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207"/>
    </row>
    <row r="72" spans="1:12" ht="12.75" customHeight="1" x14ac:dyDescent="0.2">
      <c r="A72" s="207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207"/>
    </row>
    <row r="73" spans="1:12" ht="12.75" customHeight="1" x14ac:dyDescent="0.2">
      <c r="A73" s="207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207"/>
    </row>
    <row r="74" spans="1:12" ht="14" x14ac:dyDescent="0.2">
      <c r="A74" s="20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207"/>
    </row>
    <row r="75" spans="1:12" ht="14" x14ac:dyDescent="0.2">
      <c r="A75" s="207"/>
      <c r="B75" s="217"/>
      <c r="C75" s="217"/>
      <c r="D75" s="217"/>
      <c r="E75" s="217"/>
      <c r="F75" s="37"/>
      <c r="G75" s="217"/>
      <c r="H75" s="217"/>
      <c r="I75" s="37"/>
      <c r="J75" s="217"/>
      <c r="K75" s="217"/>
      <c r="L75" s="207"/>
    </row>
    <row r="76" spans="1:12" s="13" customFormat="1" ht="15" x14ac:dyDescent="0.2">
      <c r="A76" s="207"/>
      <c r="B76" s="221" t="str">
        <f>CONCATENATE(CAPTURA!E44, " ",CAPTURA!E47, " ", CAPTURA!E48)</f>
        <v xml:space="preserve">  </v>
      </c>
      <c r="C76" s="221"/>
      <c r="D76" s="221"/>
      <c r="E76" s="221"/>
      <c r="F76" s="65"/>
      <c r="G76" s="221" t="str">
        <f>CONCATENATE(CAPTURA!I11, " ",CAPTURA!I12, " ",CAPTURA!I13)</f>
        <v>MARIA ELENA HINOJOSA PLANCARTE</v>
      </c>
      <c r="H76" s="221"/>
      <c r="I76" s="65"/>
      <c r="J76" s="221" t="s">
        <v>167</v>
      </c>
      <c r="K76" s="221"/>
      <c r="L76" s="207"/>
    </row>
    <row r="77" spans="1:12" ht="15" x14ac:dyDescent="0.2">
      <c r="A77" s="207"/>
      <c r="B77" s="218" t="s">
        <v>106</v>
      </c>
      <c r="C77" s="218"/>
      <c r="D77" s="218"/>
      <c r="E77" s="218"/>
      <c r="F77"/>
      <c r="G77" s="218" t="s">
        <v>95</v>
      </c>
      <c r="H77" s="218"/>
      <c r="I77"/>
      <c r="J77" s="218" t="s">
        <v>105</v>
      </c>
      <c r="K77" s="218"/>
      <c r="L77" s="207"/>
    </row>
    <row r="78" spans="1:12" ht="14" x14ac:dyDescent="0.2">
      <c r="A78" s="20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207"/>
    </row>
    <row r="79" spans="1:12" ht="14" x14ac:dyDescent="0.2">
      <c r="A79" s="20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207"/>
    </row>
    <row r="80" spans="1:12" ht="14" x14ac:dyDescent="0.2">
      <c r="A80" s="207"/>
      <c r="B80" s="207"/>
      <c r="C80" s="207"/>
      <c r="D80" s="207"/>
      <c r="E80" s="207"/>
      <c r="F80" s="207"/>
      <c r="G80" s="207"/>
      <c r="H80" s="207"/>
      <c r="I80" s="207"/>
      <c r="J80" s="207"/>
      <c r="K80" s="207"/>
      <c r="L80" s="207"/>
    </row>
  </sheetData>
  <mergeCells count="115">
    <mergeCell ref="C44:D44"/>
    <mergeCell ref="C45:D45"/>
    <mergeCell ref="C46:D46"/>
    <mergeCell ref="C29:D29"/>
    <mergeCell ref="C30:D30"/>
    <mergeCell ref="C31:D31"/>
    <mergeCell ref="C32:D32"/>
    <mergeCell ref="C33:D33"/>
    <mergeCell ref="I36:J36"/>
    <mergeCell ref="F37:G37"/>
    <mergeCell ref="I37:J37"/>
    <mergeCell ref="F38:G38"/>
    <mergeCell ref="I38:J38"/>
    <mergeCell ref="F34:G34"/>
    <mergeCell ref="I34:J34"/>
    <mergeCell ref="F35:G35"/>
    <mergeCell ref="I35:J35"/>
    <mergeCell ref="F36:G36"/>
    <mergeCell ref="I40:J40"/>
    <mergeCell ref="C34:D34"/>
    <mergeCell ref="C35:D35"/>
    <mergeCell ref="C36:D36"/>
    <mergeCell ref="C37:D37"/>
    <mergeCell ref="C38:D38"/>
    <mergeCell ref="F39:G39"/>
    <mergeCell ref="I39:J39"/>
    <mergeCell ref="F40:G40"/>
    <mergeCell ref="C39:D39"/>
    <mergeCell ref="C40:D40"/>
    <mergeCell ref="F29:G29"/>
    <mergeCell ref="I29:J29"/>
    <mergeCell ref="F30:G30"/>
    <mergeCell ref="I30:J30"/>
    <mergeCell ref="F31:G31"/>
    <mergeCell ref="I31:J31"/>
    <mergeCell ref="F32:G32"/>
    <mergeCell ref="I32:J32"/>
    <mergeCell ref="F33:G33"/>
    <mergeCell ref="I33:J33"/>
    <mergeCell ref="A1:A80"/>
    <mergeCell ref="B1:K1"/>
    <mergeCell ref="L1:L80"/>
    <mergeCell ref="B2:I5"/>
    <mergeCell ref="J2:K2"/>
    <mergeCell ref="B6:K6"/>
    <mergeCell ref="B7:K7"/>
    <mergeCell ref="B8:K8"/>
    <mergeCell ref="B9:K9"/>
    <mergeCell ref="C10:G10"/>
    <mergeCell ref="B17:K17"/>
    <mergeCell ref="I10:K10"/>
    <mergeCell ref="C11:G11"/>
    <mergeCell ref="I11:K11"/>
    <mergeCell ref="C12:G12"/>
    <mergeCell ref="I12:K12"/>
    <mergeCell ref="C13:G13"/>
    <mergeCell ref="I13:K13"/>
    <mergeCell ref="C14:G14"/>
    <mergeCell ref="I14:K14"/>
    <mergeCell ref="C15:G15"/>
    <mergeCell ref="I15:K15"/>
    <mergeCell ref="B16:K16"/>
    <mergeCell ref="C18:G18"/>
    <mergeCell ref="I18:K18"/>
    <mergeCell ref="C19:G19"/>
    <mergeCell ref="I19:K19"/>
    <mergeCell ref="C20:G20"/>
    <mergeCell ref="I20:K20"/>
    <mergeCell ref="F28:G28"/>
    <mergeCell ref="I28:J28"/>
    <mergeCell ref="C21:G21"/>
    <mergeCell ref="I21:K21"/>
    <mergeCell ref="C22:G22"/>
    <mergeCell ref="I22:K22"/>
    <mergeCell ref="B23:K23"/>
    <mergeCell ref="B24:K24"/>
    <mergeCell ref="C28:D28"/>
    <mergeCell ref="B25:D25"/>
    <mergeCell ref="B26:D26"/>
    <mergeCell ref="E25:K25"/>
    <mergeCell ref="E26:K26"/>
    <mergeCell ref="B27:K27"/>
    <mergeCell ref="F44:G44"/>
    <mergeCell ref="I44:J44"/>
    <mergeCell ref="F45:G45"/>
    <mergeCell ref="I45:J45"/>
    <mergeCell ref="F46:G46"/>
    <mergeCell ref="I46:J46"/>
    <mergeCell ref="E49:K49"/>
    <mergeCell ref="E50:K50"/>
    <mergeCell ref="E51:K51"/>
    <mergeCell ref="E48:K48"/>
    <mergeCell ref="B80:K80"/>
    <mergeCell ref="B76:E76"/>
    <mergeCell ref="G76:H76"/>
    <mergeCell ref="J76:K76"/>
    <mergeCell ref="B77:E77"/>
    <mergeCell ref="G77:H77"/>
    <mergeCell ref="J77:K77"/>
    <mergeCell ref="B48:C48"/>
    <mergeCell ref="B75:E75"/>
    <mergeCell ref="G75:H75"/>
    <mergeCell ref="J75:K75"/>
    <mergeCell ref="E52:K52"/>
    <mergeCell ref="B49:C49"/>
    <mergeCell ref="B54:K66"/>
    <mergeCell ref="C41:D41"/>
    <mergeCell ref="C42:D42"/>
    <mergeCell ref="C43:D43"/>
    <mergeCell ref="F41:G41"/>
    <mergeCell ref="I41:J41"/>
    <mergeCell ref="F42:G42"/>
    <mergeCell ref="F43:G43"/>
    <mergeCell ref="I42:J42"/>
    <mergeCell ref="I43:J43"/>
  </mergeCells>
  <printOptions horizontalCentered="1"/>
  <pageMargins left="0.31496062992125984" right="0.31496062992125984" top="0.39370078740157483" bottom="0.39370078740157483" header="0" footer="0"/>
  <pageSetup scale="63" orientation="portrait" r:id="rId1"/>
  <ignoredErrors>
    <ignoredError sqref="E10:G15 E18:G21 I10:K11 E22:G22 C22 C18:C21 C10:C15 I14" unlockedFormula="1"/>
    <ignoredError sqref="H30 F45 K4" emptyCellReference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7">
    <tabColor rgb="FFFF0000"/>
    <pageSetUpPr fitToPage="1"/>
  </sheetPr>
  <dimension ref="A1:M62"/>
  <sheetViews>
    <sheetView showGridLines="0" showZeros="0" showWhiteSpace="0" view="pageBreakPreview" zoomScale="70" zoomScaleNormal="69" zoomScaleSheetLayoutView="70" zoomScalePageLayoutView="70" workbookViewId="0">
      <selection activeCell="M11" sqref="M11"/>
    </sheetView>
  </sheetViews>
  <sheetFormatPr baseColWidth="10" defaultColWidth="11.5" defaultRowHeight="12" x14ac:dyDescent="0.15"/>
  <cols>
    <col min="1" max="1" width="1.5" style="12" customWidth="1"/>
    <col min="2" max="2" width="21.5" style="12" bestFit="1" customWidth="1"/>
    <col min="3" max="4" width="15.6640625" style="12" customWidth="1"/>
    <col min="5" max="5" width="2.33203125" style="12" customWidth="1"/>
    <col min="6" max="6" width="15.6640625" style="12" customWidth="1"/>
    <col min="7" max="7" width="17.5" style="12" bestFit="1" customWidth="1"/>
    <col min="8" max="8" width="2.33203125" style="12" customWidth="1"/>
    <col min="9" max="9" width="13.83203125" style="12" bestFit="1" customWidth="1"/>
    <col min="10" max="10" width="29.33203125" style="12" customWidth="1"/>
    <col min="11" max="11" width="1.5" style="12" customWidth="1"/>
    <col min="12" max="16384" width="11.5" style="12"/>
  </cols>
  <sheetData>
    <row r="1" spans="1:13" ht="14" x14ac:dyDescent="0.2">
      <c r="A1" s="207"/>
      <c r="B1" s="207"/>
      <c r="C1" s="207"/>
      <c r="D1" s="207"/>
      <c r="E1" s="207"/>
      <c r="F1" s="207"/>
      <c r="G1" s="207"/>
      <c r="H1" s="207"/>
      <c r="I1" s="207"/>
      <c r="J1" s="207"/>
      <c r="K1" s="207"/>
    </row>
    <row r="2" spans="1:13" ht="15" x14ac:dyDescent="0.15">
      <c r="A2" s="207"/>
      <c r="B2" s="231"/>
      <c r="C2" s="231"/>
      <c r="D2" s="231"/>
      <c r="E2" s="231"/>
      <c r="F2" s="231"/>
      <c r="G2" s="231"/>
      <c r="H2" s="232"/>
      <c r="I2" s="242" t="s">
        <v>122</v>
      </c>
      <c r="J2" s="243"/>
      <c r="K2" s="207"/>
    </row>
    <row r="3" spans="1:13" ht="15" x14ac:dyDescent="0.2">
      <c r="A3" s="207"/>
      <c r="B3" s="231"/>
      <c r="C3" s="231"/>
      <c r="D3" s="231"/>
      <c r="E3" s="231"/>
      <c r="F3" s="231"/>
      <c r="G3" s="231"/>
      <c r="H3" s="232"/>
      <c r="I3" s="50" t="s">
        <v>0</v>
      </c>
      <c r="J3" s="61">
        <f ca="1">(CAPTURA!E8)</f>
        <v>46079</v>
      </c>
      <c r="K3" s="207"/>
    </row>
    <row r="4" spans="1:13" ht="15" x14ac:dyDescent="0.2">
      <c r="A4" s="207"/>
      <c r="B4" s="231"/>
      <c r="C4" s="231"/>
      <c r="D4" s="231"/>
      <c r="E4" s="231"/>
      <c r="F4" s="231"/>
      <c r="G4" s="231"/>
      <c r="H4" s="232"/>
      <c r="I4" s="50" t="s">
        <v>120</v>
      </c>
      <c r="J4" s="62">
        <f>(CAPTURA!E9)</f>
        <v>0</v>
      </c>
      <c r="K4" s="207"/>
    </row>
    <row r="5" spans="1:13" ht="15" x14ac:dyDescent="0.2">
      <c r="A5" s="207"/>
      <c r="B5" s="231"/>
      <c r="C5" s="231"/>
      <c r="D5" s="231"/>
      <c r="E5" s="231"/>
      <c r="F5" s="231"/>
      <c r="G5" s="231"/>
      <c r="H5" s="232"/>
      <c r="I5" s="63"/>
      <c r="J5" s="64"/>
      <c r="K5" s="207"/>
    </row>
    <row r="6" spans="1:13" ht="5" customHeight="1" x14ac:dyDescent="0.2">
      <c r="A6" s="207"/>
      <c r="B6" s="207"/>
      <c r="C6" s="207"/>
      <c r="D6" s="207"/>
      <c r="E6" s="207"/>
      <c r="F6" s="207"/>
      <c r="G6" s="207"/>
      <c r="H6" s="207"/>
      <c r="I6" s="207"/>
      <c r="J6" s="207"/>
      <c r="K6" s="207"/>
    </row>
    <row r="7" spans="1:13" ht="32" customHeight="1" x14ac:dyDescent="0.15">
      <c r="A7" s="207"/>
      <c r="B7" s="396" t="s">
        <v>165</v>
      </c>
      <c r="C7" s="397"/>
      <c r="D7" s="397"/>
      <c r="E7" s="397"/>
      <c r="F7" s="397"/>
      <c r="G7" s="397"/>
      <c r="H7" s="397"/>
      <c r="I7" s="397"/>
      <c r="J7" s="398"/>
      <c r="K7" s="207"/>
    </row>
    <row r="8" spans="1:13" ht="5" customHeight="1" x14ac:dyDescent="0.2">
      <c r="A8" s="207"/>
      <c r="B8" s="207"/>
      <c r="C8" s="207"/>
      <c r="D8" s="207"/>
      <c r="E8" s="207"/>
      <c r="F8" s="207"/>
      <c r="G8" s="207"/>
      <c r="H8" s="207"/>
      <c r="I8" s="207"/>
      <c r="J8" s="207"/>
      <c r="K8" s="207"/>
    </row>
    <row r="9" spans="1:13" ht="15" x14ac:dyDescent="0.15">
      <c r="A9" s="207"/>
      <c r="B9" s="53" t="s">
        <v>97</v>
      </c>
      <c r="C9" s="250">
        <f>(CAPTURA!E34)</f>
        <v>0</v>
      </c>
      <c r="D9" s="251"/>
      <c r="E9" s="251"/>
      <c r="F9" s="252"/>
      <c r="G9" s="54" t="s">
        <v>22</v>
      </c>
      <c r="H9" s="399">
        <f>(CAPTURA!E42)</f>
        <v>0</v>
      </c>
      <c r="I9" s="400"/>
      <c r="J9" s="401"/>
      <c r="K9" s="207"/>
    </row>
    <row r="10" spans="1:13" ht="15" x14ac:dyDescent="0.15">
      <c r="A10" s="207"/>
      <c r="B10" s="55" t="s">
        <v>13</v>
      </c>
      <c r="C10" s="222">
        <f>(CAPTURA!E36)</f>
        <v>0</v>
      </c>
      <c r="D10" s="192"/>
      <c r="E10" s="192"/>
      <c r="F10" s="223"/>
      <c r="G10" s="56"/>
      <c r="H10" s="188"/>
      <c r="I10" s="189"/>
      <c r="J10" s="190"/>
      <c r="K10" s="207"/>
    </row>
    <row r="11" spans="1:13" ht="15" x14ac:dyDescent="0.15">
      <c r="A11" s="207"/>
      <c r="B11" s="55" t="s">
        <v>14</v>
      </c>
      <c r="C11" s="222">
        <f>(CAPTURA!E37)</f>
        <v>0</v>
      </c>
      <c r="D11" s="192"/>
      <c r="E11" s="192"/>
      <c r="F11" s="223"/>
      <c r="G11" s="56"/>
      <c r="H11" s="188"/>
      <c r="I11" s="189"/>
      <c r="J11" s="190"/>
      <c r="K11" s="207"/>
    </row>
    <row r="12" spans="1:13" ht="15" x14ac:dyDescent="0.15">
      <c r="A12" s="207"/>
      <c r="B12" s="55" t="s">
        <v>15</v>
      </c>
      <c r="C12" s="222">
        <f>(CAPTURA!E38)</f>
        <v>0</v>
      </c>
      <c r="D12" s="192"/>
      <c r="E12" s="192"/>
      <c r="F12" s="223"/>
      <c r="G12" s="56"/>
      <c r="H12" s="188"/>
      <c r="I12" s="189"/>
      <c r="J12" s="190"/>
      <c r="K12" s="207"/>
    </row>
    <row r="13" spans="1:13" ht="15" x14ac:dyDescent="0.15">
      <c r="A13" s="207"/>
      <c r="B13" s="55" t="s">
        <v>16</v>
      </c>
      <c r="C13" s="222">
        <f>(CAPTURA!E39)</f>
        <v>0</v>
      </c>
      <c r="D13" s="192"/>
      <c r="E13" s="192"/>
      <c r="F13" s="223"/>
      <c r="G13" s="56"/>
      <c r="H13" s="188"/>
      <c r="I13" s="189"/>
      <c r="J13" s="190"/>
      <c r="K13" s="207"/>
      <c r="M13" s="40"/>
    </row>
    <row r="14" spans="1:13" ht="15" x14ac:dyDescent="0.15">
      <c r="A14" s="207"/>
      <c r="B14" s="57" t="s">
        <v>17</v>
      </c>
      <c r="C14" s="222">
        <f>(CAPTURA!E40)</f>
        <v>0</v>
      </c>
      <c r="D14" s="192"/>
      <c r="E14" s="192"/>
      <c r="F14" s="223"/>
      <c r="G14" s="58"/>
      <c r="H14" s="188"/>
      <c r="I14" s="189"/>
      <c r="J14" s="190"/>
      <c r="K14" s="207"/>
      <c r="M14" s="40"/>
    </row>
    <row r="15" spans="1:13" ht="15" x14ac:dyDescent="0.15">
      <c r="A15" s="207"/>
      <c r="B15" s="57" t="s">
        <v>135</v>
      </c>
      <c r="C15" s="222">
        <f>(CAPTURA!E41)</f>
        <v>0</v>
      </c>
      <c r="D15" s="192"/>
      <c r="E15" s="192"/>
      <c r="F15" s="223"/>
      <c r="G15" s="58"/>
      <c r="H15" s="188"/>
      <c r="I15" s="189"/>
      <c r="J15" s="190"/>
      <c r="K15" s="207"/>
      <c r="M15" s="40"/>
    </row>
    <row r="16" spans="1:13" ht="15" x14ac:dyDescent="0.15">
      <c r="A16" s="207"/>
      <c r="B16" s="59" t="s">
        <v>6</v>
      </c>
      <c r="C16" s="224">
        <f>(CAPTURA!E35)</f>
        <v>0</v>
      </c>
      <c r="D16" s="225"/>
      <c r="E16" s="225"/>
      <c r="F16" s="226"/>
      <c r="G16" s="60"/>
      <c r="H16" s="197"/>
      <c r="I16" s="198"/>
      <c r="J16" s="199"/>
      <c r="K16" s="207"/>
      <c r="M16" s="40"/>
    </row>
    <row r="17" spans="1:11" ht="5" customHeight="1" x14ac:dyDescent="0.2">
      <c r="A17" s="207"/>
      <c r="B17" s="207"/>
      <c r="C17" s="207"/>
      <c r="D17" s="207"/>
      <c r="E17" s="207"/>
      <c r="F17" s="207"/>
      <c r="G17" s="207"/>
      <c r="H17" s="207"/>
      <c r="I17" s="207"/>
      <c r="J17" s="207"/>
      <c r="K17" s="207"/>
    </row>
    <row r="18" spans="1:11" ht="19" x14ac:dyDescent="0.15">
      <c r="A18" s="207"/>
      <c r="B18" s="185" t="s">
        <v>131</v>
      </c>
      <c r="C18" s="186"/>
      <c r="D18" s="186"/>
      <c r="E18" s="186"/>
      <c r="F18" s="186"/>
      <c r="G18" s="186"/>
      <c r="H18" s="186"/>
      <c r="I18" s="186"/>
      <c r="J18" s="187"/>
      <c r="K18" s="207"/>
    </row>
    <row r="19" spans="1:11" ht="15" x14ac:dyDescent="0.15">
      <c r="A19" s="207"/>
      <c r="B19" s="53" t="s">
        <v>99</v>
      </c>
      <c r="C19" s="414" t="str">
        <f>(CAPTURA!I17)</f>
        <v>SANTTE RESIDENCIAL</v>
      </c>
      <c r="D19" s="415"/>
      <c r="E19" s="415"/>
      <c r="F19" s="416"/>
      <c r="G19" s="54" t="s">
        <v>100</v>
      </c>
      <c r="H19" s="417">
        <f>(CAPTURA!I24)</f>
        <v>166.929</v>
      </c>
      <c r="I19" s="418"/>
      <c r="J19" s="419"/>
      <c r="K19" s="207"/>
    </row>
    <row r="20" spans="1:11" ht="15" x14ac:dyDescent="0.15">
      <c r="A20" s="207"/>
      <c r="B20" s="55" t="s">
        <v>75</v>
      </c>
      <c r="C20" s="222">
        <f>(CAPTURA!I19)</f>
        <v>45</v>
      </c>
      <c r="D20" s="192"/>
      <c r="E20" s="192"/>
      <c r="F20" s="223"/>
      <c r="G20" s="56" t="s">
        <v>101</v>
      </c>
      <c r="H20" s="236">
        <f>(CAPTURA!I25)</f>
        <v>12580.19876714052</v>
      </c>
      <c r="I20" s="237">
        <f>(CAPTURA!I25)</f>
        <v>12580.19876714052</v>
      </c>
      <c r="J20" s="238"/>
      <c r="K20" s="207"/>
    </row>
    <row r="21" spans="1:11" ht="15" x14ac:dyDescent="0.15">
      <c r="A21" s="207"/>
      <c r="B21" s="55" t="s">
        <v>76</v>
      </c>
      <c r="C21" s="222">
        <f>(CAPTURA!I20)</f>
        <v>16</v>
      </c>
      <c r="D21" s="192"/>
      <c r="E21" s="192"/>
      <c r="F21" s="223"/>
      <c r="G21" s="56" t="s">
        <v>80</v>
      </c>
      <c r="H21" s="236">
        <f>(CAPTURA!I26)</f>
        <v>2100000</v>
      </c>
      <c r="I21" s="237">
        <f>(CAPTURA!I26)</f>
        <v>2100000</v>
      </c>
      <c r="J21" s="238"/>
      <c r="K21" s="207"/>
    </row>
    <row r="22" spans="1:11" ht="15" x14ac:dyDescent="0.15">
      <c r="A22" s="207"/>
      <c r="B22" s="55" t="s">
        <v>98</v>
      </c>
      <c r="C22" s="222">
        <f>(CAPTURA!I21)</f>
        <v>114</v>
      </c>
      <c r="D22" s="192"/>
      <c r="E22" s="192"/>
      <c r="F22" s="223"/>
      <c r="G22" s="56" t="s">
        <v>113</v>
      </c>
      <c r="H22" s="239">
        <f>(CAPTURA!I23)</f>
        <v>0</v>
      </c>
      <c r="I22" s="240"/>
      <c r="J22" s="241"/>
      <c r="K22" s="207"/>
    </row>
    <row r="23" spans="1:11" ht="15" x14ac:dyDescent="0.15">
      <c r="A23" s="207"/>
      <c r="B23" s="59" t="s">
        <v>79</v>
      </c>
      <c r="C23" s="411" t="str">
        <f>(CAPTURA!I22)</f>
        <v>AZALEA</v>
      </c>
      <c r="D23" s="412"/>
      <c r="E23" s="412"/>
      <c r="F23" s="413"/>
      <c r="G23" s="60" t="s">
        <v>74</v>
      </c>
      <c r="H23" s="247" t="str">
        <f>(CAPTURA!I18)</f>
        <v>TERRENO</v>
      </c>
      <c r="I23" s="248"/>
      <c r="J23" s="249"/>
      <c r="K23" s="207"/>
    </row>
    <row r="24" spans="1:11" ht="5" customHeight="1" x14ac:dyDescent="0.2">
      <c r="A24" s="207"/>
      <c r="B24" s="207"/>
      <c r="C24" s="207"/>
      <c r="D24" s="207"/>
      <c r="E24" s="207"/>
      <c r="F24" s="207"/>
      <c r="G24" s="207"/>
      <c r="H24" s="207"/>
      <c r="I24" s="207"/>
      <c r="J24" s="207"/>
      <c r="K24" s="207"/>
    </row>
    <row r="25" spans="1:11" ht="19" x14ac:dyDescent="0.15">
      <c r="A25" s="207"/>
      <c r="B25" s="214" t="s">
        <v>68</v>
      </c>
      <c r="C25" s="215"/>
      <c r="D25" s="215"/>
      <c r="E25" s="215"/>
      <c r="F25" s="215"/>
      <c r="G25" s="215"/>
      <c r="H25" s="215"/>
      <c r="I25" s="215"/>
      <c r="J25" s="216"/>
      <c r="K25" s="207"/>
    </row>
    <row r="26" spans="1:11" ht="15" x14ac:dyDescent="0.15">
      <c r="A26" s="207"/>
      <c r="B26" s="53" t="s">
        <v>97</v>
      </c>
      <c r="C26" s="469" t="str">
        <f>CONCATENATE(CAPTURA!E44, " ",CAPTURA!E47, " ",CAPTURA!E48)</f>
        <v xml:space="preserve">  </v>
      </c>
      <c r="D26" s="469"/>
      <c r="E26" s="469"/>
      <c r="F26" s="469"/>
      <c r="G26" s="54" t="s">
        <v>20</v>
      </c>
      <c r="H26" s="470">
        <f>(CAPTURA!E62)</f>
        <v>0</v>
      </c>
      <c r="I26" s="470"/>
      <c r="J26" s="471"/>
      <c r="K26" s="207"/>
    </row>
    <row r="27" spans="1:11" ht="15" x14ac:dyDescent="0.15">
      <c r="A27" s="207"/>
      <c r="B27" s="55" t="s">
        <v>13</v>
      </c>
      <c r="C27" s="465">
        <f>(CAPTURA!E56)</f>
        <v>0</v>
      </c>
      <c r="D27" s="465"/>
      <c r="E27" s="465"/>
      <c r="F27" s="465"/>
      <c r="G27" s="56" t="s">
        <v>21</v>
      </c>
      <c r="H27" s="472">
        <f>(CAPTURA!E63)</f>
        <v>0</v>
      </c>
      <c r="I27" s="472"/>
      <c r="J27" s="473"/>
      <c r="K27" s="207"/>
    </row>
    <row r="28" spans="1:11" ht="15" x14ac:dyDescent="0.15">
      <c r="A28" s="207"/>
      <c r="B28" s="55" t="s">
        <v>14</v>
      </c>
      <c r="C28" s="465">
        <f>(CAPTURA!E57)</f>
        <v>0</v>
      </c>
      <c r="D28" s="465"/>
      <c r="E28" s="465"/>
      <c r="F28" s="465"/>
      <c r="G28" s="56" t="s">
        <v>22</v>
      </c>
      <c r="H28" s="472">
        <f>(CAPTURA!E64)</f>
        <v>0</v>
      </c>
      <c r="I28" s="472"/>
      <c r="J28" s="473"/>
      <c r="K28" s="207"/>
    </row>
    <row r="29" spans="1:11" ht="15" x14ac:dyDescent="0.15">
      <c r="A29" s="207"/>
      <c r="B29" s="55" t="s">
        <v>15</v>
      </c>
      <c r="C29" s="465">
        <f>(CAPTURA!E58)</f>
        <v>0</v>
      </c>
      <c r="D29" s="465"/>
      <c r="E29" s="465"/>
      <c r="F29" s="465"/>
      <c r="G29" s="56" t="s">
        <v>23</v>
      </c>
      <c r="H29" s="472">
        <f>(CAPTURA!E65)</f>
        <v>0</v>
      </c>
      <c r="I29" s="472"/>
      <c r="J29" s="473"/>
      <c r="K29" s="207"/>
    </row>
    <row r="30" spans="1:11" ht="15" x14ac:dyDescent="0.15">
      <c r="A30" s="207"/>
      <c r="B30" s="55" t="s">
        <v>16</v>
      </c>
      <c r="C30" s="465">
        <f>(CAPTURA!E59)</f>
        <v>0</v>
      </c>
      <c r="D30" s="465"/>
      <c r="E30" s="465"/>
      <c r="F30" s="465"/>
      <c r="G30" s="56"/>
      <c r="H30" s="463"/>
      <c r="I30" s="463"/>
      <c r="J30" s="464"/>
      <c r="K30" s="207"/>
    </row>
    <row r="31" spans="1:11" ht="15" x14ac:dyDescent="0.15">
      <c r="A31" s="207"/>
      <c r="B31" s="57" t="s">
        <v>17</v>
      </c>
      <c r="C31" s="465">
        <f>(CAPTURA!E60)</f>
        <v>0</v>
      </c>
      <c r="D31" s="465"/>
      <c r="E31" s="465"/>
      <c r="F31" s="465"/>
      <c r="G31" s="56"/>
      <c r="H31" s="463"/>
      <c r="I31" s="463"/>
      <c r="J31" s="464"/>
      <c r="K31" s="207"/>
    </row>
    <row r="32" spans="1:11" ht="15" x14ac:dyDescent="0.15">
      <c r="A32" s="207"/>
      <c r="B32" s="57" t="s">
        <v>135</v>
      </c>
      <c r="C32" s="465">
        <f>(CAPTURA!E61)</f>
        <v>0</v>
      </c>
      <c r="D32" s="465"/>
      <c r="E32" s="465"/>
      <c r="F32" s="465"/>
      <c r="G32" s="56"/>
      <c r="H32" s="463"/>
      <c r="I32" s="463"/>
      <c r="J32" s="464"/>
      <c r="K32" s="207"/>
    </row>
    <row r="33" spans="1:11" ht="15" x14ac:dyDescent="0.15">
      <c r="A33" s="207"/>
      <c r="B33" s="57" t="s">
        <v>6</v>
      </c>
      <c r="C33" s="465">
        <f>(CAPTURA!E51)</f>
        <v>0</v>
      </c>
      <c r="D33" s="465"/>
      <c r="E33" s="465"/>
      <c r="F33" s="465"/>
      <c r="G33" s="56"/>
      <c r="H33" s="463"/>
      <c r="I33" s="463"/>
      <c r="J33" s="464"/>
      <c r="K33" s="207"/>
    </row>
    <row r="34" spans="1:11" ht="15" x14ac:dyDescent="0.15">
      <c r="A34" s="207"/>
      <c r="B34" s="57" t="s">
        <v>7</v>
      </c>
      <c r="C34" s="465">
        <f>(CAPTURA!E52)</f>
        <v>0</v>
      </c>
      <c r="D34" s="465"/>
      <c r="E34" s="465"/>
      <c r="F34" s="465"/>
      <c r="G34" s="56"/>
      <c r="H34" s="463"/>
      <c r="I34" s="463"/>
      <c r="J34" s="464"/>
      <c r="K34" s="207"/>
    </row>
    <row r="35" spans="1:11" ht="15" x14ac:dyDescent="0.15">
      <c r="A35" s="207"/>
      <c r="B35" s="57" t="s">
        <v>8</v>
      </c>
      <c r="C35" s="465">
        <f>(CAPTURA!E53)</f>
        <v>0</v>
      </c>
      <c r="D35" s="465"/>
      <c r="E35" s="465"/>
      <c r="F35" s="465"/>
      <c r="G35" s="56"/>
      <c r="H35" s="463"/>
      <c r="I35" s="463"/>
      <c r="J35" s="464"/>
      <c r="K35" s="207"/>
    </row>
    <row r="36" spans="1:11" ht="15" x14ac:dyDescent="0.15">
      <c r="A36" s="207"/>
      <c r="B36" s="59" t="s">
        <v>24</v>
      </c>
      <c r="C36" s="466">
        <f>(CAPTURA!E55)</f>
        <v>0</v>
      </c>
      <c r="D36" s="466"/>
      <c r="E36" s="466"/>
      <c r="F36" s="466"/>
      <c r="G36" s="60"/>
      <c r="H36" s="467"/>
      <c r="I36" s="467"/>
      <c r="J36" s="468"/>
      <c r="K36" s="207"/>
    </row>
    <row r="37" spans="1:11" ht="5" customHeight="1" x14ac:dyDescent="0.2">
      <c r="A37" s="207"/>
      <c r="B37" s="37"/>
      <c r="C37" s="37"/>
      <c r="D37" s="37"/>
      <c r="E37" s="37"/>
      <c r="F37" s="37"/>
      <c r="G37" s="37"/>
      <c r="H37" s="37"/>
      <c r="I37" s="37"/>
      <c r="J37" s="37"/>
      <c r="K37" s="207"/>
    </row>
    <row r="38" spans="1:11" ht="19" x14ac:dyDescent="0.15">
      <c r="A38" s="207"/>
      <c r="B38" s="214" t="s">
        <v>137</v>
      </c>
      <c r="C38" s="215"/>
      <c r="D38" s="215"/>
      <c r="E38" s="215"/>
      <c r="F38" s="215"/>
      <c r="G38" s="215"/>
      <c r="H38" s="215"/>
      <c r="I38" s="215"/>
      <c r="J38" s="216"/>
      <c r="K38" s="207"/>
    </row>
    <row r="39" spans="1:11" ht="15" x14ac:dyDescent="0.2">
      <c r="A39" s="207"/>
      <c r="B39" s="408"/>
      <c r="C39" s="409"/>
      <c r="D39" s="409"/>
      <c r="E39" s="409"/>
      <c r="F39" s="409"/>
      <c r="G39" s="409"/>
      <c r="H39" s="409"/>
      <c r="I39" s="409"/>
      <c r="J39" s="410"/>
      <c r="K39" s="207"/>
    </row>
    <row r="40" spans="1:11" ht="15" x14ac:dyDescent="0.2">
      <c r="A40" s="207"/>
      <c r="B40" s="200"/>
      <c r="C40" s="201"/>
      <c r="D40" s="201"/>
      <c r="E40" s="201"/>
      <c r="F40" s="201"/>
      <c r="G40" s="201"/>
      <c r="H40" s="201"/>
      <c r="I40" s="201"/>
      <c r="J40" s="202"/>
      <c r="K40" s="207"/>
    </row>
    <row r="41" spans="1:11" ht="15" x14ac:dyDescent="0.2">
      <c r="A41" s="207"/>
      <c r="B41" s="200"/>
      <c r="C41" s="201"/>
      <c r="D41" s="201"/>
      <c r="E41" s="201"/>
      <c r="F41" s="201"/>
      <c r="G41" s="201"/>
      <c r="H41" s="201"/>
      <c r="I41" s="201"/>
      <c r="J41" s="202"/>
      <c r="K41" s="207"/>
    </row>
    <row r="42" spans="1:11" ht="15" x14ac:dyDescent="0.2">
      <c r="A42" s="207"/>
      <c r="B42" s="200"/>
      <c r="C42" s="201"/>
      <c r="D42" s="201"/>
      <c r="E42" s="201"/>
      <c r="F42" s="201"/>
      <c r="G42" s="201"/>
      <c r="H42" s="201"/>
      <c r="I42" s="201"/>
      <c r="J42" s="202"/>
      <c r="K42" s="207"/>
    </row>
    <row r="43" spans="1:11" ht="15" x14ac:dyDescent="0.2">
      <c r="A43" s="207"/>
      <c r="B43" s="200"/>
      <c r="C43" s="201"/>
      <c r="D43" s="201"/>
      <c r="E43" s="201"/>
      <c r="F43" s="201"/>
      <c r="G43" s="201"/>
      <c r="H43" s="201"/>
      <c r="I43" s="201"/>
      <c r="J43" s="202"/>
      <c r="K43" s="207"/>
    </row>
    <row r="44" spans="1:11" ht="15" x14ac:dyDescent="0.2">
      <c r="A44" s="207"/>
      <c r="B44" s="200"/>
      <c r="C44" s="201"/>
      <c r="D44" s="201"/>
      <c r="E44" s="201"/>
      <c r="F44" s="201"/>
      <c r="G44" s="201"/>
      <c r="H44" s="201"/>
      <c r="I44" s="201"/>
      <c r="J44" s="202"/>
      <c r="K44" s="207"/>
    </row>
    <row r="45" spans="1:11" ht="15" x14ac:dyDescent="0.2">
      <c r="A45" s="207"/>
      <c r="B45" s="405"/>
      <c r="C45" s="406"/>
      <c r="D45" s="406"/>
      <c r="E45" s="406"/>
      <c r="F45" s="406"/>
      <c r="G45" s="406"/>
      <c r="H45" s="406"/>
      <c r="I45" s="406"/>
      <c r="J45" s="407"/>
      <c r="K45" s="207"/>
    </row>
    <row r="46" spans="1:11" ht="14" x14ac:dyDescent="0.2">
      <c r="A46" s="207"/>
      <c r="B46" s="37"/>
      <c r="C46" s="37"/>
      <c r="D46" s="37"/>
      <c r="E46" s="37"/>
      <c r="F46" s="37"/>
      <c r="G46" s="37"/>
      <c r="H46" s="37"/>
      <c r="I46" s="37"/>
      <c r="J46" s="37"/>
      <c r="K46" s="207"/>
    </row>
    <row r="47" spans="1:11" ht="14" x14ac:dyDescent="0.2">
      <c r="A47" s="207"/>
      <c r="B47" s="37"/>
      <c r="C47" s="37"/>
      <c r="D47" s="37"/>
      <c r="E47" s="37"/>
      <c r="F47" s="37"/>
      <c r="G47" s="37"/>
      <c r="H47" s="37"/>
      <c r="I47" s="37"/>
      <c r="J47" s="37"/>
      <c r="K47" s="207"/>
    </row>
    <row r="48" spans="1:11" ht="14" x14ac:dyDescent="0.2">
      <c r="A48" s="207"/>
      <c r="B48" s="37"/>
      <c r="C48" s="37"/>
      <c r="D48" s="37"/>
      <c r="E48" s="37"/>
      <c r="F48" s="37"/>
      <c r="G48" s="37"/>
      <c r="H48" s="37"/>
      <c r="I48" s="37"/>
      <c r="J48" s="37"/>
      <c r="K48" s="207"/>
    </row>
    <row r="49" spans="1:11" ht="14" x14ac:dyDescent="0.2">
      <c r="A49" s="207"/>
      <c r="B49" s="37"/>
      <c r="C49" s="37"/>
      <c r="D49" s="37"/>
      <c r="E49" s="37"/>
      <c r="F49" s="37"/>
      <c r="G49" s="37"/>
      <c r="H49" s="37"/>
      <c r="I49" s="37"/>
      <c r="J49" s="37"/>
      <c r="K49" s="207"/>
    </row>
    <row r="50" spans="1:11" ht="14" x14ac:dyDescent="0.2">
      <c r="A50" s="207"/>
      <c r="B50" s="37"/>
      <c r="C50" s="37"/>
      <c r="D50" s="37"/>
      <c r="E50" s="37"/>
      <c r="F50" s="37"/>
      <c r="G50" s="37"/>
      <c r="H50" s="37"/>
      <c r="I50" s="37"/>
      <c r="J50" s="37"/>
      <c r="K50" s="207"/>
    </row>
    <row r="51" spans="1:11" ht="14" x14ac:dyDescent="0.2">
      <c r="A51" s="207"/>
      <c r="B51" s="37"/>
      <c r="C51" s="37"/>
      <c r="D51" s="37"/>
      <c r="E51" s="37"/>
      <c r="F51" s="37"/>
      <c r="G51" s="37"/>
      <c r="H51" s="37"/>
      <c r="I51" s="37"/>
      <c r="J51" s="37"/>
      <c r="K51" s="207"/>
    </row>
    <row r="52" spans="1:11" ht="14" x14ac:dyDescent="0.2">
      <c r="A52" s="207"/>
      <c r="B52" s="37"/>
      <c r="C52" s="37"/>
      <c r="D52" s="37"/>
      <c r="E52" s="37"/>
      <c r="F52" s="37"/>
      <c r="G52" s="37"/>
      <c r="H52" s="37"/>
      <c r="I52" s="37"/>
      <c r="J52" s="37"/>
      <c r="K52" s="207"/>
    </row>
    <row r="53" spans="1:11" ht="14" x14ac:dyDescent="0.2">
      <c r="A53" s="207"/>
      <c r="B53" s="37"/>
      <c r="C53" s="37"/>
      <c r="D53" s="37"/>
      <c r="E53" s="37"/>
      <c r="F53" s="37"/>
      <c r="G53" s="37"/>
      <c r="H53" s="37"/>
      <c r="I53" s="37"/>
      <c r="J53" s="37"/>
      <c r="K53" s="207"/>
    </row>
    <row r="54" spans="1:11" ht="14" x14ac:dyDescent="0.2">
      <c r="A54" s="207"/>
      <c r="B54" s="37"/>
      <c r="C54" s="37"/>
      <c r="D54" s="37"/>
      <c r="E54" s="37"/>
      <c r="F54" s="37"/>
      <c r="G54" s="37"/>
      <c r="H54" s="37"/>
      <c r="I54" s="37"/>
      <c r="J54" s="37"/>
      <c r="K54" s="207"/>
    </row>
    <row r="55" spans="1:11" ht="14" x14ac:dyDescent="0.2">
      <c r="A55" s="207"/>
      <c r="B55" s="37"/>
      <c r="C55" s="37"/>
      <c r="D55" s="37"/>
      <c r="E55" s="37"/>
      <c r="F55" s="37"/>
      <c r="G55" s="37"/>
      <c r="H55" s="37"/>
      <c r="I55" s="37"/>
      <c r="J55" s="37"/>
      <c r="K55" s="207"/>
    </row>
    <row r="56" spans="1:11" ht="14" x14ac:dyDescent="0.2">
      <c r="A56" s="207"/>
      <c r="B56" s="37"/>
      <c r="C56" s="37"/>
      <c r="D56" s="37"/>
      <c r="E56" s="37"/>
      <c r="F56" s="37"/>
      <c r="G56" s="37"/>
      <c r="H56" s="37"/>
      <c r="I56" s="37"/>
      <c r="J56" s="37"/>
      <c r="K56" s="207"/>
    </row>
    <row r="57" spans="1:11" ht="14" x14ac:dyDescent="0.2">
      <c r="A57" s="207"/>
      <c r="B57" s="217"/>
      <c r="C57" s="217"/>
      <c r="D57" s="217"/>
      <c r="E57" s="37"/>
      <c r="F57" s="207"/>
      <c r="G57" s="207"/>
      <c r="H57" s="37"/>
      <c r="I57" s="217"/>
      <c r="J57" s="217"/>
      <c r="K57" s="207"/>
    </row>
    <row r="58" spans="1:11" s="13" customFormat="1" ht="15" x14ac:dyDescent="0.2">
      <c r="A58" s="207"/>
      <c r="B58" s="221" t="str">
        <f>CONCATENATE(CAPTURA!E44, " ",CAPTURA!E47, " ",CAPTURA!E48)</f>
        <v xml:space="preserve">  </v>
      </c>
      <c r="C58" s="221"/>
      <c r="D58" s="221"/>
      <c r="E58" s="65"/>
      <c r="F58" s="221"/>
      <c r="G58" s="221"/>
      <c r="H58" s="65"/>
      <c r="I58" s="221" t="str">
        <f>CONCATENATE(CAPTURA!I11, " ",CAPTURA!I12, " ",CAPTURA!I13)</f>
        <v>MARIA ELENA HINOJOSA PLANCARTE</v>
      </c>
      <c r="J58" s="221"/>
      <c r="K58" s="207"/>
    </row>
    <row r="59" spans="1:11" ht="15" x14ac:dyDescent="0.2">
      <c r="A59" s="207"/>
      <c r="B59" s="218" t="s">
        <v>106</v>
      </c>
      <c r="C59" s="218"/>
      <c r="D59" s="218"/>
      <c r="E59"/>
      <c r="F59" s="218"/>
      <c r="G59" s="218"/>
      <c r="H59"/>
      <c r="I59" s="218" t="s">
        <v>69</v>
      </c>
      <c r="J59" s="218"/>
      <c r="K59" s="207"/>
    </row>
    <row r="60" spans="1:11" ht="14" x14ac:dyDescent="0.2">
      <c r="A60" s="207"/>
      <c r="B60" s="37"/>
      <c r="C60" s="37"/>
      <c r="D60" s="37"/>
      <c r="E60" s="37"/>
      <c r="F60" s="37"/>
      <c r="G60" s="37"/>
      <c r="H60" s="37"/>
      <c r="I60" s="37"/>
      <c r="J60" s="37"/>
      <c r="K60" s="207"/>
    </row>
    <row r="61" spans="1:11" ht="14" x14ac:dyDescent="0.2">
      <c r="A61" s="207"/>
      <c r="B61" s="37"/>
      <c r="C61" s="37"/>
      <c r="D61" s="37"/>
      <c r="E61" s="37"/>
      <c r="F61" s="37"/>
      <c r="G61" s="37"/>
      <c r="H61" s="37"/>
      <c r="I61" s="37"/>
      <c r="J61" s="37"/>
      <c r="K61" s="207"/>
    </row>
    <row r="62" spans="1:11" ht="14" x14ac:dyDescent="0.2">
      <c r="A62" s="207"/>
      <c r="B62" s="207"/>
      <c r="C62" s="207"/>
      <c r="D62" s="207"/>
      <c r="E62" s="207"/>
      <c r="F62" s="207"/>
      <c r="G62" s="207"/>
      <c r="H62" s="207"/>
      <c r="I62" s="207"/>
      <c r="J62" s="207"/>
      <c r="K62" s="207"/>
    </row>
  </sheetData>
  <mergeCells count="78">
    <mergeCell ref="B44:J44"/>
    <mergeCell ref="B45:J45"/>
    <mergeCell ref="B38:J38"/>
    <mergeCell ref="B39:J39"/>
    <mergeCell ref="B40:J40"/>
    <mergeCell ref="B41:J41"/>
    <mergeCell ref="B42:J42"/>
    <mergeCell ref="B43:J43"/>
    <mergeCell ref="B62:J62"/>
    <mergeCell ref="C26:F26"/>
    <mergeCell ref="H26:J26"/>
    <mergeCell ref="C27:F27"/>
    <mergeCell ref="H27:J27"/>
    <mergeCell ref="C28:F28"/>
    <mergeCell ref="H28:J28"/>
    <mergeCell ref="C29:F29"/>
    <mergeCell ref="H29:J29"/>
    <mergeCell ref="C30:F30"/>
    <mergeCell ref="B58:D58"/>
    <mergeCell ref="F58:G58"/>
    <mergeCell ref="I58:J58"/>
    <mergeCell ref="B59:D59"/>
    <mergeCell ref="F59:G59"/>
    <mergeCell ref="I59:J59"/>
    <mergeCell ref="B57:D57"/>
    <mergeCell ref="F57:G57"/>
    <mergeCell ref="I57:J57"/>
    <mergeCell ref="H30:J30"/>
    <mergeCell ref="C31:F31"/>
    <mergeCell ref="H31:J31"/>
    <mergeCell ref="C32:F32"/>
    <mergeCell ref="H32:J32"/>
    <mergeCell ref="C33:F33"/>
    <mergeCell ref="C34:F34"/>
    <mergeCell ref="C35:F35"/>
    <mergeCell ref="C36:F36"/>
    <mergeCell ref="H33:J33"/>
    <mergeCell ref="H34:J34"/>
    <mergeCell ref="H35:J35"/>
    <mergeCell ref="H36:J36"/>
    <mergeCell ref="B24:J24"/>
    <mergeCell ref="B25:J25"/>
    <mergeCell ref="C21:F21"/>
    <mergeCell ref="H21:J21"/>
    <mergeCell ref="C22:F22"/>
    <mergeCell ref="H22:J22"/>
    <mergeCell ref="C23:F23"/>
    <mergeCell ref="H23:J23"/>
    <mergeCell ref="B17:J17"/>
    <mergeCell ref="B18:J18"/>
    <mergeCell ref="C19:F19"/>
    <mergeCell ref="H19:J19"/>
    <mergeCell ref="C20:F20"/>
    <mergeCell ref="H20:J20"/>
    <mergeCell ref="C16:F16"/>
    <mergeCell ref="H16:J16"/>
    <mergeCell ref="C13:F13"/>
    <mergeCell ref="H13:J13"/>
    <mergeCell ref="C14:F14"/>
    <mergeCell ref="H14:J14"/>
    <mergeCell ref="C15:F15"/>
    <mergeCell ref="H15:J15"/>
    <mergeCell ref="A1:A62"/>
    <mergeCell ref="B1:J1"/>
    <mergeCell ref="K1:K62"/>
    <mergeCell ref="B2:H5"/>
    <mergeCell ref="I2:J2"/>
    <mergeCell ref="B6:J6"/>
    <mergeCell ref="B7:J7"/>
    <mergeCell ref="B8:J8"/>
    <mergeCell ref="C9:F9"/>
    <mergeCell ref="H9:J9"/>
    <mergeCell ref="C10:F10"/>
    <mergeCell ref="H10:J10"/>
    <mergeCell ref="C11:F11"/>
    <mergeCell ref="H11:J11"/>
    <mergeCell ref="C12:F12"/>
    <mergeCell ref="H12:J12"/>
  </mergeCells>
  <pageMargins left="0.39370078740157483" right="0.39370078740157483" top="0.39370078740157483" bottom="0.39370078740157483" header="0" footer="0"/>
  <pageSetup scale="67" orientation="portrait" horizontalDpi="4294967292" r:id="rId1"/>
  <ignoredErrors>
    <ignoredError sqref="H9 C9:F16 C19:F22 I26:J26 H27:J29 C26:F36 C23" unlockedFormula="1"/>
    <ignoredError sqref="H26" unlockedFormula="1" emptyCellReference="1"/>
    <ignoredError sqref="J4" emptyCellReference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8">
    <tabColor rgb="FFFF0000"/>
  </sheetPr>
  <dimension ref="A1:M58"/>
  <sheetViews>
    <sheetView showGridLines="0" view="pageBreakPreview" zoomScale="90" zoomScaleNormal="90" zoomScaleSheetLayoutView="90" zoomScalePageLayoutView="90" workbookViewId="0">
      <selection activeCell="J57" sqref="J57:L57"/>
    </sheetView>
  </sheetViews>
  <sheetFormatPr baseColWidth="10" defaultRowHeight="15" x14ac:dyDescent="0.2"/>
  <cols>
    <col min="1" max="1" width="2.33203125" customWidth="1"/>
    <col min="2" max="2" width="17.5" customWidth="1"/>
    <col min="3" max="3" width="3.5" customWidth="1"/>
    <col min="4" max="4" width="24.5" customWidth="1"/>
    <col min="5" max="5" width="2.5" customWidth="1"/>
    <col min="6" max="6" width="4.6640625" customWidth="1"/>
    <col min="7" max="7" width="9.5" customWidth="1"/>
    <col min="8" max="8" width="6.33203125" customWidth="1"/>
    <col min="9" max="9" width="2.6640625" customWidth="1"/>
    <col min="10" max="10" width="7.6640625" customWidth="1"/>
    <col min="11" max="11" width="4.33203125" customWidth="1"/>
    <col min="12" max="12" width="10.6640625" customWidth="1"/>
    <col min="13" max="13" width="3.1640625" customWidth="1"/>
  </cols>
  <sheetData>
    <row r="1" spans="1:13" ht="12.75" customHeight="1" x14ac:dyDescent="0.2">
      <c r="A1" s="420"/>
      <c r="B1" s="231"/>
      <c r="C1" s="231"/>
      <c r="D1" s="231"/>
      <c r="E1" s="231"/>
      <c r="F1" s="231"/>
      <c r="G1" s="231"/>
      <c r="H1" s="231"/>
      <c r="I1" s="231"/>
      <c r="J1" s="437" t="s">
        <v>121</v>
      </c>
      <c r="K1" s="437"/>
      <c r="L1" s="437"/>
      <c r="M1" s="420"/>
    </row>
    <row r="2" spans="1:13" ht="12.75" customHeight="1" x14ac:dyDescent="0.2">
      <c r="A2" s="420"/>
      <c r="B2" s="231"/>
      <c r="C2" s="231"/>
      <c r="D2" s="231"/>
      <c r="E2" s="231"/>
      <c r="F2" s="231"/>
      <c r="G2" s="231"/>
      <c r="H2" s="231"/>
      <c r="I2" s="231"/>
      <c r="J2" s="437"/>
      <c r="K2" s="437"/>
      <c r="L2" s="437"/>
      <c r="M2" s="420"/>
    </row>
    <row r="3" spans="1:13" ht="12.75" customHeight="1" x14ac:dyDescent="0.2">
      <c r="A3" s="420"/>
      <c r="B3" s="231"/>
      <c r="C3" s="231"/>
      <c r="D3" s="231"/>
      <c r="E3" s="231"/>
      <c r="F3" s="231"/>
      <c r="G3" s="231"/>
      <c r="H3" s="231"/>
      <c r="I3" s="231"/>
      <c r="J3" s="437"/>
      <c r="K3" s="437"/>
      <c r="L3" s="437"/>
      <c r="M3" s="420"/>
    </row>
    <row r="4" spans="1:13" ht="12.75" customHeight="1" x14ac:dyDescent="0.2">
      <c r="A4" s="420"/>
      <c r="B4" s="231"/>
      <c r="C4" s="231"/>
      <c r="D4" s="231"/>
      <c r="E4" s="231"/>
      <c r="F4" s="231"/>
      <c r="G4" s="231"/>
      <c r="H4" s="231"/>
      <c r="I4" s="231"/>
      <c r="J4" s="437"/>
      <c r="K4" s="437"/>
      <c r="L4" s="437"/>
      <c r="M4" s="420"/>
    </row>
    <row r="5" spans="1:13" ht="12.75" customHeight="1" x14ac:dyDescent="0.2">
      <c r="A5" s="420"/>
      <c r="B5" s="420"/>
      <c r="C5" s="420"/>
      <c r="D5" s="420"/>
      <c r="E5" s="420"/>
      <c r="F5" s="420"/>
      <c r="G5" s="420"/>
      <c r="H5" s="420"/>
      <c r="I5" s="420"/>
      <c r="J5" s="420"/>
      <c r="K5" s="420"/>
      <c r="L5" s="420"/>
      <c r="M5" s="420"/>
    </row>
    <row r="6" spans="1:13" ht="12.75" customHeight="1" x14ac:dyDescent="0.2">
      <c r="A6" s="420"/>
      <c r="B6" s="41" t="s">
        <v>0</v>
      </c>
      <c r="C6" s="431">
        <f ca="1">(CAPTURA!E8)</f>
        <v>46079</v>
      </c>
      <c r="D6" s="422"/>
      <c r="E6" s="42"/>
      <c r="F6" s="432" t="s">
        <v>122</v>
      </c>
      <c r="G6" s="432"/>
      <c r="H6" s="432"/>
      <c r="I6" s="432"/>
      <c r="J6" s="432"/>
      <c r="K6" s="432"/>
      <c r="L6" s="432"/>
      <c r="M6" s="420"/>
    </row>
    <row r="7" spans="1:13" ht="8" customHeight="1" x14ac:dyDescent="0.2">
      <c r="A7" s="420"/>
      <c r="B7" s="420"/>
      <c r="C7" s="420"/>
      <c r="D7" s="420"/>
      <c r="E7" s="420"/>
      <c r="F7" s="420"/>
      <c r="G7" s="420"/>
      <c r="H7" s="420"/>
      <c r="I7" s="420"/>
      <c r="J7" s="420"/>
      <c r="K7" s="420"/>
      <c r="L7" s="420"/>
      <c r="M7" s="420"/>
    </row>
    <row r="8" spans="1:13" ht="12.75" customHeight="1" x14ac:dyDescent="0.2">
      <c r="A8" s="420"/>
      <c r="B8" s="41" t="s">
        <v>99</v>
      </c>
      <c r="C8" s="422" t="str">
        <f>(CAPTURA!I17)</f>
        <v>SANTTE RESIDENCIAL</v>
      </c>
      <c r="D8" s="422"/>
      <c r="E8" s="42"/>
      <c r="F8" s="41" t="s">
        <v>107</v>
      </c>
      <c r="G8" s="43">
        <f>(CAPTURA!I19)</f>
        <v>45</v>
      </c>
      <c r="H8" s="41" t="s">
        <v>76</v>
      </c>
      <c r="I8" s="433">
        <f>(CAPTURA!I20)</f>
        <v>16</v>
      </c>
      <c r="J8" s="433"/>
      <c r="K8" s="41" t="s">
        <v>108</v>
      </c>
      <c r="L8" s="43">
        <f>(CAPTURA!I21)</f>
        <v>114</v>
      </c>
      <c r="M8" s="420"/>
    </row>
    <row r="9" spans="1:13" ht="8" customHeight="1" x14ac:dyDescent="0.2">
      <c r="A9" s="420"/>
      <c r="B9" s="420"/>
      <c r="C9" s="420"/>
      <c r="D9" s="420"/>
      <c r="E9" s="420"/>
      <c r="F9" s="420"/>
      <c r="G9" s="420"/>
      <c r="H9" s="420"/>
      <c r="I9" s="420"/>
      <c r="J9" s="420"/>
      <c r="K9" s="420"/>
      <c r="L9" s="420"/>
      <c r="M9" s="420"/>
    </row>
    <row r="10" spans="1:13" ht="12.75" customHeight="1" x14ac:dyDescent="0.2">
      <c r="A10" s="420"/>
      <c r="B10" s="41" t="s">
        <v>109</v>
      </c>
      <c r="C10" s="422">
        <f>(CAPTURA!E34)</f>
        <v>0</v>
      </c>
      <c r="D10" s="422"/>
      <c r="E10" s="422"/>
      <c r="F10" s="422"/>
      <c r="G10" s="422"/>
      <c r="H10" s="41" t="s">
        <v>110</v>
      </c>
      <c r="I10" s="434">
        <f>(CAPTURA!I24)</f>
        <v>166.929</v>
      </c>
      <c r="J10" s="422"/>
      <c r="K10" s="422"/>
      <c r="L10" s="422"/>
      <c r="M10" s="420"/>
    </row>
    <row r="11" spans="1:13" ht="8" customHeight="1" x14ac:dyDescent="0.2">
      <c r="A11" s="420"/>
      <c r="B11" s="420"/>
      <c r="C11" s="420"/>
      <c r="D11" s="420"/>
      <c r="E11" s="420"/>
      <c r="F11" s="420"/>
      <c r="G11" s="420"/>
      <c r="H11" s="420"/>
      <c r="I11" s="420"/>
      <c r="J11" s="420"/>
      <c r="K11" s="420"/>
      <c r="L11" s="420"/>
      <c r="M11" s="420"/>
    </row>
    <row r="12" spans="1:13" ht="12.75" customHeight="1" x14ac:dyDescent="0.2">
      <c r="A12" s="420"/>
      <c r="B12" s="37" t="s">
        <v>6</v>
      </c>
      <c r="C12" s="422">
        <f>(CAPTURA!E35)</f>
        <v>0</v>
      </c>
      <c r="D12" s="422"/>
      <c r="E12" s="422"/>
      <c r="F12" s="422"/>
      <c r="G12" s="422"/>
      <c r="H12" s="422"/>
      <c r="I12" s="422"/>
      <c r="J12" s="422"/>
      <c r="K12" s="422"/>
      <c r="L12" s="422"/>
      <c r="M12" s="420"/>
    </row>
    <row r="13" spans="1:13" ht="8" customHeight="1" x14ac:dyDescent="0.2">
      <c r="A13" s="420"/>
      <c r="B13" s="420"/>
      <c r="C13" s="420"/>
      <c r="D13" s="420"/>
      <c r="E13" s="420"/>
      <c r="F13" s="420"/>
      <c r="G13" s="420"/>
      <c r="H13" s="420"/>
      <c r="I13" s="420"/>
      <c r="J13" s="420"/>
      <c r="K13" s="420"/>
      <c r="L13" s="420"/>
      <c r="M13" s="420"/>
    </row>
    <row r="14" spans="1:13" x14ac:dyDescent="0.2">
      <c r="A14" s="420"/>
      <c r="B14" s="41" t="s">
        <v>111</v>
      </c>
      <c r="C14" s="421">
        <f>(CAPTURA!I26)</f>
        <v>2100000</v>
      </c>
      <c r="D14" s="421"/>
      <c r="E14" s="42"/>
      <c r="F14" s="435" t="s">
        <v>112</v>
      </c>
      <c r="G14" s="435"/>
      <c r="H14" s="435"/>
      <c r="I14" s="421">
        <f>(CAPTURA!I25)</f>
        <v>12580.19876714052</v>
      </c>
      <c r="J14" s="421"/>
      <c r="K14" s="421"/>
      <c r="L14" s="421"/>
      <c r="M14" s="420"/>
    </row>
    <row r="15" spans="1:13" ht="8" customHeight="1" x14ac:dyDescent="0.2">
      <c r="A15" s="420"/>
      <c r="B15" s="420"/>
      <c r="C15" s="420"/>
      <c r="D15" s="420"/>
      <c r="E15" s="420"/>
      <c r="F15" s="420"/>
      <c r="G15" s="420"/>
      <c r="H15" s="420"/>
      <c r="I15" s="420"/>
      <c r="J15" s="420"/>
      <c r="K15" s="420"/>
      <c r="L15" s="420"/>
      <c r="M15" s="420"/>
    </row>
    <row r="16" spans="1:13" ht="12.75" customHeight="1" x14ac:dyDescent="0.2">
      <c r="A16" s="420"/>
      <c r="B16" s="41" t="s">
        <v>113</v>
      </c>
      <c r="C16" s="422">
        <f>(CAPTURA!I23)</f>
        <v>0</v>
      </c>
      <c r="D16" s="422"/>
      <c r="E16" s="44"/>
      <c r="F16" s="435" t="s">
        <v>74</v>
      </c>
      <c r="G16" s="435"/>
      <c r="H16" s="435"/>
      <c r="I16" s="422" t="str">
        <f>(CAPTURA!I18)</f>
        <v>TERRENO</v>
      </c>
      <c r="J16" s="422"/>
      <c r="K16" s="422"/>
      <c r="L16" s="422"/>
      <c r="M16" s="420"/>
    </row>
    <row r="17" spans="1:13" ht="8" customHeight="1" x14ac:dyDescent="0.2">
      <c r="A17" s="420"/>
      <c r="B17" s="420"/>
      <c r="C17" s="420"/>
      <c r="D17" s="420"/>
      <c r="E17" s="420"/>
      <c r="F17" s="420"/>
      <c r="G17" s="420"/>
      <c r="H17" s="420"/>
      <c r="I17" s="420"/>
      <c r="J17" s="420"/>
      <c r="K17" s="420"/>
      <c r="L17" s="420"/>
      <c r="M17" s="420"/>
    </row>
    <row r="18" spans="1:13" ht="12.75" customHeight="1" x14ac:dyDescent="0.2">
      <c r="A18" s="420"/>
      <c r="B18" s="41" t="s">
        <v>114</v>
      </c>
      <c r="C18" s="422" t="s">
        <v>88</v>
      </c>
      <c r="D18" s="422"/>
      <c r="E18" s="44"/>
      <c r="F18" s="435" t="s">
        <v>115</v>
      </c>
      <c r="G18" s="435"/>
      <c r="H18" s="435"/>
      <c r="I18" s="423">
        <f>(CAPTURA!I30)</f>
        <v>0</v>
      </c>
      <c r="J18" s="422"/>
      <c r="K18" s="422"/>
      <c r="L18" s="422"/>
      <c r="M18" s="420"/>
    </row>
    <row r="19" spans="1:13" ht="8" customHeight="1" x14ac:dyDescent="0.2">
      <c r="A19" s="420"/>
      <c r="B19" s="420"/>
      <c r="C19" s="420"/>
      <c r="D19" s="420"/>
      <c r="E19" s="420"/>
      <c r="F19" s="420"/>
      <c r="G19" s="420"/>
      <c r="H19" s="420"/>
      <c r="I19" s="420"/>
      <c r="J19" s="420"/>
      <c r="K19" s="420"/>
      <c r="L19" s="420"/>
      <c r="M19" s="420"/>
    </row>
    <row r="20" spans="1:13" ht="12.75" customHeight="1" x14ac:dyDescent="0.2">
      <c r="A20" s="420"/>
      <c r="B20" s="41" t="s">
        <v>116</v>
      </c>
      <c r="C20" s="420"/>
      <c r="D20" s="420"/>
      <c r="E20" s="420"/>
      <c r="F20" s="420"/>
      <c r="G20" s="420"/>
      <c r="H20" s="420"/>
      <c r="I20" s="420"/>
      <c r="J20" s="420"/>
      <c r="K20" s="420"/>
      <c r="L20" s="420"/>
      <c r="M20" s="420"/>
    </row>
    <row r="21" spans="1:13" ht="12.75" customHeight="1" x14ac:dyDescent="0.2">
      <c r="A21" s="420"/>
      <c r="B21" s="426" t="s">
        <v>117</v>
      </c>
      <c r="C21" s="426"/>
      <c r="D21" s="426"/>
      <c r="E21" s="426"/>
      <c r="F21" s="426"/>
      <c r="G21" s="426"/>
      <c r="H21" s="426"/>
      <c r="I21" s="426"/>
      <c r="J21" s="426"/>
      <c r="K21" s="426"/>
      <c r="L21" s="426"/>
      <c r="M21" s="420"/>
    </row>
    <row r="22" spans="1:13" ht="12.75" customHeight="1" x14ac:dyDescent="0.2">
      <c r="A22" s="420"/>
      <c r="B22" s="426"/>
      <c r="C22" s="426"/>
      <c r="D22" s="426"/>
      <c r="E22" s="426"/>
      <c r="F22" s="426"/>
      <c r="G22" s="426"/>
      <c r="H22" s="426"/>
      <c r="I22" s="426"/>
      <c r="J22" s="426"/>
      <c r="K22" s="426"/>
      <c r="L22" s="426"/>
      <c r="M22" s="420"/>
    </row>
    <row r="23" spans="1:13" ht="12.75" customHeight="1" x14ac:dyDescent="0.2">
      <c r="A23" s="420"/>
      <c r="B23" s="429"/>
      <c r="C23" s="429"/>
      <c r="D23" s="429"/>
      <c r="E23" s="429"/>
      <c r="F23" s="429"/>
      <c r="G23" s="429"/>
      <c r="H23" s="429"/>
      <c r="I23" s="429"/>
      <c r="J23" s="429"/>
      <c r="K23" s="429"/>
      <c r="L23" s="429"/>
      <c r="M23" s="420"/>
    </row>
    <row r="24" spans="1:13" ht="12.75" customHeight="1" x14ac:dyDescent="0.2">
      <c r="A24" s="420"/>
      <c r="B24" s="442"/>
      <c r="C24" s="442"/>
      <c r="D24" s="442"/>
      <c r="E24" s="442"/>
      <c r="F24" s="442"/>
      <c r="G24" s="442"/>
      <c r="H24" s="442"/>
      <c r="I24" s="442"/>
      <c r="J24" s="442"/>
      <c r="K24" s="442"/>
      <c r="L24" s="442"/>
      <c r="M24" s="420"/>
    </row>
    <row r="25" spans="1:13" x14ac:dyDescent="0.2">
      <c r="A25" s="420"/>
      <c r="B25" s="420"/>
      <c r="C25" s="420"/>
      <c r="D25" s="474"/>
      <c r="E25" s="474"/>
      <c r="F25" s="474"/>
      <c r="G25" s="474"/>
      <c r="H25" s="474"/>
      <c r="I25" s="474"/>
      <c r="J25" s="474"/>
      <c r="K25" s="474"/>
      <c r="L25" s="474"/>
      <c r="M25" s="420"/>
    </row>
    <row r="26" spans="1:13" x14ac:dyDescent="0.2">
      <c r="A26" s="420"/>
      <c r="B26" s="420"/>
      <c r="C26" s="420"/>
      <c r="D26" s="475"/>
      <c r="E26" s="474"/>
      <c r="F26" s="475"/>
      <c r="G26" s="475"/>
      <c r="H26" s="475"/>
      <c r="I26" s="474"/>
      <c r="J26" s="475"/>
      <c r="K26" s="475"/>
      <c r="L26" s="475"/>
      <c r="M26" s="420"/>
    </row>
    <row r="27" spans="1:13" ht="12.75" customHeight="1" x14ac:dyDescent="0.2">
      <c r="A27" s="420"/>
      <c r="B27" s="45"/>
      <c r="C27" s="420"/>
      <c r="D27" s="85" t="s">
        <v>123</v>
      </c>
      <c r="E27" s="474"/>
      <c r="F27" s="430" t="s">
        <v>144</v>
      </c>
      <c r="G27" s="430"/>
      <c r="H27" s="430"/>
      <c r="I27" s="474"/>
      <c r="J27" s="430" t="s">
        <v>143</v>
      </c>
      <c r="K27" s="430"/>
      <c r="L27" s="430"/>
      <c r="M27" s="420"/>
    </row>
    <row r="28" spans="1:13" x14ac:dyDescent="0.2">
      <c r="A28" s="420"/>
      <c r="B28" s="38"/>
      <c r="C28" s="420"/>
      <c r="D28" s="46" t="s">
        <v>118</v>
      </c>
      <c r="E28" s="474"/>
      <c r="F28" s="424" t="s">
        <v>95</v>
      </c>
      <c r="G28" s="424"/>
      <c r="H28" s="424"/>
      <c r="I28" s="474"/>
      <c r="J28" s="440" t="s">
        <v>105</v>
      </c>
      <c r="K28" s="440"/>
      <c r="L28" s="440"/>
      <c r="M28" s="420"/>
    </row>
    <row r="29" spans="1:13" ht="12.75" customHeight="1" x14ac:dyDescent="0.2">
      <c r="A29" s="420"/>
      <c r="B29" s="420"/>
      <c r="C29" s="420"/>
      <c r="D29" s="420"/>
      <c r="E29" s="420"/>
      <c r="F29" s="420"/>
      <c r="G29" s="420"/>
      <c r="H29" s="420"/>
      <c r="I29" s="420"/>
      <c r="J29" s="420"/>
      <c r="K29" s="420"/>
      <c r="L29" s="420"/>
      <c r="M29" s="420"/>
    </row>
    <row r="30" spans="1:13" ht="12.75" customHeight="1" x14ac:dyDescent="0.2">
      <c r="A30" s="420"/>
      <c r="B30" s="231"/>
      <c r="C30" s="231"/>
      <c r="D30" s="231"/>
      <c r="E30" s="231"/>
      <c r="F30" s="231"/>
      <c r="G30" s="231"/>
      <c r="H30" s="231"/>
      <c r="I30" s="231"/>
      <c r="J30" s="437" t="s">
        <v>121</v>
      </c>
      <c r="K30" s="437"/>
      <c r="L30" s="437"/>
      <c r="M30" s="420"/>
    </row>
    <row r="31" spans="1:13" ht="12.75" customHeight="1" x14ac:dyDescent="0.2">
      <c r="A31" s="420"/>
      <c r="B31" s="231"/>
      <c r="C31" s="231"/>
      <c r="D31" s="231"/>
      <c r="E31" s="231"/>
      <c r="F31" s="231"/>
      <c r="G31" s="231"/>
      <c r="H31" s="231"/>
      <c r="I31" s="231"/>
      <c r="J31" s="437"/>
      <c r="K31" s="437"/>
      <c r="L31" s="437"/>
      <c r="M31" s="420"/>
    </row>
    <row r="32" spans="1:13" ht="12.75" customHeight="1" x14ac:dyDescent="0.2">
      <c r="A32" s="420"/>
      <c r="B32" s="231"/>
      <c r="C32" s="231"/>
      <c r="D32" s="231"/>
      <c r="E32" s="231"/>
      <c r="F32" s="231"/>
      <c r="G32" s="231"/>
      <c r="H32" s="231"/>
      <c r="I32" s="231"/>
      <c r="J32" s="437"/>
      <c r="K32" s="437"/>
      <c r="L32" s="437"/>
      <c r="M32" s="420"/>
    </row>
    <row r="33" spans="1:13" ht="12.75" customHeight="1" x14ac:dyDescent="0.2">
      <c r="A33" s="420"/>
      <c r="B33" s="231"/>
      <c r="C33" s="231"/>
      <c r="D33" s="231"/>
      <c r="E33" s="231"/>
      <c r="F33" s="231"/>
      <c r="G33" s="231"/>
      <c r="H33" s="231"/>
      <c r="I33" s="231"/>
      <c r="J33" s="437"/>
      <c r="K33" s="437"/>
      <c r="L33" s="437"/>
      <c r="M33" s="420"/>
    </row>
    <row r="34" spans="1:13" ht="12.75" customHeight="1" x14ac:dyDescent="0.2">
      <c r="A34" s="420"/>
      <c r="B34" s="420"/>
      <c r="C34" s="420"/>
      <c r="D34" s="420"/>
      <c r="E34" s="420"/>
      <c r="F34" s="420"/>
      <c r="G34" s="420"/>
      <c r="H34" s="420"/>
      <c r="I34" s="420"/>
      <c r="J34" s="420"/>
      <c r="K34" s="420"/>
      <c r="L34" s="420"/>
      <c r="M34" s="420"/>
    </row>
    <row r="35" spans="1:13" ht="12.75" customHeight="1" x14ac:dyDescent="0.2">
      <c r="A35" s="420"/>
      <c r="B35" s="41" t="s">
        <v>0</v>
      </c>
      <c r="C35" s="431">
        <f ca="1">(CAPTURA!E8)</f>
        <v>46079</v>
      </c>
      <c r="D35" s="422"/>
      <c r="E35" s="42"/>
      <c r="F35" s="432" t="s">
        <v>122</v>
      </c>
      <c r="G35" s="432"/>
      <c r="H35" s="432"/>
      <c r="I35" s="432"/>
      <c r="J35" s="432"/>
      <c r="K35" s="432"/>
      <c r="L35" s="432"/>
      <c r="M35" s="420"/>
    </row>
    <row r="36" spans="1:13" ht="8" customHeight="1" x14ac:dyDescent="0.2">
      <c r="A36" s="420"/>
      <c r="B36" s="420"/>
      <c r="C36" s="420"/>
      <c r="D36" s="420"/>
      <c r="E36" s="420"/>
      <c r="F36" s="420"/>
      <c r="G36" s="420"/>
      <c r="H36" s="420"/>
      <c r="I36" s="420"/>
      <c r="J36" s="420"/>
      <c r="K36" s="420"/>
      <c r="L36" s="420"/>
      <c r="M36" s="420"/>
    </row>
    <row r="37" spans="1:13" ht="12.75" customHeight="1" x14ac:dyDescent="0.2">
      <c r="A37" s="420"/>
      <c r="B37" s="41" t="s">
        <v>99</v>
      </c>
      <c r="C37" s="422" t="str">
        <f>(CAPTURA!I17)</f>
        <v>SANTTE RESIDENCIAL</v>
      </c>
      <c r="D37" s="422"/>
      <c r="E37" s="42"/>
      <c r="F37" s="41" t="s">
        <v>107</v>
      </c>
      <c r="G37" s="43">
        <f>(CAPTURA!I19)</f>
        <v>45</v>
      </c>
      <c r="H37" s="41" t="s">
        <v>76</v>
      </c>
      <c r="I37" s="433">
        <f>(CAPTURA!I20)</f>
        <v>16</v>
      </c>
      <c r="J37" s="433"/>
      <c r="K37" s="41" t="s">
        <v>108</v>
      </c>
      <c r="L37" s="43">
        <f>(CAPTURA!I21)</f>
        <v>114</v>
      </c>
      <c r="M37" s="420"/>
    </row>
    <row r="38" spans="1:13" ht="8" customHeight="1" x14ac:dyDescent="0.2">
      <c r="A38" s="420"/>
      <c r="B38" s="420"/>
      <c r="C38" s="420"/>
      <c r="D38" s="420"/>
      <c r="E38" s="420"/>
      <c r="F38" s="420"/>
      <c r="G38" s="420"/>
      <c r="H38" s="420"/>
      <c r="I38" s="420"/>
      <c r="J38" s="420"/>
      <c r="K38" s="420"/>
      <c r="L38" s="420"/>
      <c r="M38" s="420"/>
    </row>
    <row r="39" spans="1:13" ht="12.75" customHeight="1" x14ac:dyDescent="0.2">
      <c r="A39" s="420"/>
      <c r="B39" s="41" t="s">
        <v>109</v>
      </c>
      <c r="C39" s="422">
        <f>(CAPTURA!E34)</f>
        <v>0</v>
      </c>
      <c r="D39" s="422"/>
      <c r="E39" s="422"/>
      <c r="F39" s="422"/>
      <c r="G39" s="422"/>
      <c r="H39" s="41" t="s">
        <v>110</v>
      </c>
      <c r="I39" s="434">
        <f>(CAPTURA!I24)</f>
        <v>166.929</v>
      </c>
      <c r="J39" s="422"/>
      <c r="K39" s="422"/>
      <c r="L39" s="422"/>
      <c r="M39" s="420"/>
    </row>
    <row r="40" spans="1:13" ht="8" customHeight="1" x14ac:dyDescent="0.2">
      <c r="A40" s="420"/>
      <c r="B40" s="420"/>
      <c r="C40" s="420"/>
      <c r="D40" s="420"/>
      <c r="E40" s="420"/>
      <c r="F40" s="420"/>
      <c r="G40" s="420"/>
      <c r="H40" s="420"/>
      <c r="I40" s="420"/>
      <c r="J40" s="420"/>
      <c r="K40" s="420"/>
      <c r="L40" s="420"/>
      <c r="M40" s="420"/>
    </row>
    <row r="41" spans="1:13" ht="12.75" customHeight="1" x14ac:dyDescent="0.2">
      <c r="A41" s="420"/>
      <c r="B41" s="37" t="s">
        <v>6</v>
      </c>
      <c r="C41" s="422">
        <f>(CAPTURA!E35)</f>
        <v>0</v>
      </c>
      <c r="D41" s="422"/>
      <c r="E41" s="422"/>
      <c r="F41" s="422"/>
      <c r="G41" s="422"/>
      <c r="H41" s="422"/>
      <c r="I41" s="422"/>
      <c r="J41" s="422"/>
      <c r="K41" s="422"/>
      <c r="L41" s="422"/>
      <c r="M41" s="420"/>
    </row>
    <row r="42" spans="1:13" ht="8" customHeight="1" x14ac:dyDescent="0.2">
      <c r="A42" s="420"/>
      <c r="B42" s="420"/>
      <c r="C42" s="420"/>
      <c r="D42" s="420"/>
      <c r="E42" s="420"/>
      <c r="F42" s="420"/>
      <c r="G42" s="420"/>
      <c r="H42" s="420"/>
      <c r="I42" s="420"/>
      <c r="J42" s="420"/>
      <c r="K42" s="420"/>
      <c r="L42" s="420"/>
      <c r="M42" s="420"/>
    </row>
    <row r="43" spans="1:13" ht="12.75" customHeight="1" x14ac:dyDescent="0.2">
      <c r="A43" s="420"/>
      <c r="B43" s="41" t="s">
        <v>111</v>
      </c>
      <c r="C43" s="421">
        <f>(CAPTURA!I26)</f>
        <v>2100000</v>
      </c>
      <c r="D43" s="421"/>
      <c r="E43" s="42"/>
      <c r="F43" s="435" t="s">
        <v>112</v>
      </c>
      <c r="G43" s="435"/>
      <c r="H43" s="435"/>
      <c r="I43" s="421">
        <f>(CAPTURA!I25)</f>
        <v>12580.19876714052</v>
      </c>
      <c r="J43" s="421"/>
      <c r="K43" s="421"/>
      <c r="L43" s="421"/>
      <c r="M43" s="420"/>
    </row>
    <row r="44" spans="1:13" ht="8" customHeight="1" x14ac:dyDescent="0.2">
      <c r="A44" s="420"/>
      <c r="B44" s="420"/>
      <c r="C44" s="420"/>
      <c r="D44" s="420"/>
      <c r="E44" s="420"/>
      <c r="F44" s="420"/>
      <c r="G44" s="420"/>
      <c r="H44" s="420"/>
      <c r="I44" s="420"/>
      <c r="J44" s="420"/>
      <c r="K44" s="420"/>
      <c r="L44" s="420"/>
      <c r="M44" s="420"/>
    </row>
    <row r="45" spans="1:13" ht="12.75" customHeight="1" x14ac:dyDescent="0.2">
      <c r="A45" s="420"/>
      <c r="B45" s="41" t="s">
        <v>113</v>
      </c>
      <c r="C45" s="422">
        <f>(CAPTURA!I23)</f>
        <v>0</v>
      </c>
      <c r="D45" s="422"/>
      <c r="E45" s="44"/>
      <c r="F45" s="435" t="s">
        <v>74</v>
      </c>
      <c r="G45" s="435"/>
      <c r="H45" s="435"/>
      <c r="I45" s="422" t="str">
        <f>(CAPTURA!I18)</f>
        <v>TERRENO</v>
      </c>
      <c r="J45" s="422"/>
      <c r="K45" s="422"/>
      <c r="L45" s="422"/>
      <c r="M45" s="420"/>
    </row>
    <row r="46" spans="1:13" ht="8" customHeight="1" x14ac:dyDescent="0.2">
      <c r="A46" s="420"/>
      <c r="B46" s="438"/>
      <c r="C46" s="438"/>
      <c r="D46" s="438"/>
      <c r="E46" s="438"/>
      <c r="F46" s="438"/>
      <c r="G46" s="438"/>
      <c r="H46" s="438"/>
      <c r="I46" s="438"/>
      <c r="J46" s="438"/>
      <c r="K46" s="438"/>
      <c r="L46" s="438"/>
      <c r="M46" s="420"/>
    </row>
    <row r="47" spans="1:13" ht="12.75" customHeight="1" x14ac:dyDescent="0.2">
      <c r="A47" s="420"/>
      <c r="B47" s="41" t="s">
        <v>114</v>
      </c>
      <c r="C47" s="422" t="s">
        <v>88</v>
      </c>
      <c r="D47" s="422"/>
      <c r="E47" s="44"/>
      <c r="F47" s="435" t="s">
        <v>115</v>
      </c>
      <c r="G47" s="435"/>
      <c r="H47" s="435"/>
      <c r="I47" s="423">
        <f>(CAPTURA!I30)</f>
        <v>0</v>
      </c>
      <c r="J47" s="422"/>
      <c r="K47" s="422"/>
      <c r="L47" s="422"/>
      <c r="M47" s="420"/>
    </row>
    <row r="48" spans="1:13" ht="8" customHeight="1" x14ac:dyDescent="0.2">
      <c r="A48" s="420"/>
      <c r="B48" s="420"/>
      <c r="C48" s="420"/>
      <c r="D48" s="420"/>
      <c r="E48" s="420"/>
      <c r="F48" s="420"/>
      <c r="G48" s="420"/>
      <c r="H48" s="420"/>
      <c r="I48" s="420"/>
      <c r="J48" s="420"/>
      <c r="K48" s="420"/>
      <c r="L48" s="420"/>
      <c r="M48" s="420"/>
    </row>
    <row r="49" spans="1:13" ht="12.75" customHeight="1" x14ac:dyDescent="0.2">
      <c r="A49" s="420"/>
      <c r="B49" s="41" t="s">
        <v>116</v>
      </c>
      <c r="C49" s="420"/>
      <c r="D49" s="420"/>
      <c r="E49" s="420"/>
      <c r="F49" s="420"/>
      <c r="G49" s="420"/>
      <c r="H49" s="420"/>
      <c r="I49" s="420"/>
      <c r="J49" s="420"/>
      <c r="K49" s="420"/>
      <c r="L49" s="420"/>
      <c r="M49" s="420"/>
    </row>
    <row r="50" spans="1:13" ht="12.75" customHeight="1" x14ac:dyDescent="0.2">
      <c r="A50" s="420"/>
      <c r="B50" s="426" t="s">
        <v>117</v>
      </c>
      <c r="C50" s="426"/>
      <c r="D50" s="426"/>
      <c r="E50" s="426"/>
      <c r="F50" s="426"/>
      <c r="G50" s="426"/>
      <c r="H50" s="426"/>
      <c r="I50" s="426"/>
      <c r="J50" s="426"/>
      <c r="K50" s="426"/>
      <c r="L50" s="426"/>
      <c r="M50" s="420"/>
    </row>
    <row r="51" spans="1:13" ht="12.75" customHeight="1" x14ac:dyDescent="0.2">
      <c r="A51" s="420"/>
      <c r="B51" s="426"/>
      <c r="C51" s="426"/>
      <c r="D51" s="426"/>
      <c r="E51" s="426"/>
      <c r="F51" s="426"/>
      <c r="G51" s="426"/>
      <c r="H51" s="426"/>
      <c r="I51" s="426"/>
      <c r="J51" s="426"/>
      <c r="K51" s="426"/>
      <c r="L51" s="426"/>
      <c r="M51" s="420"/>
    </row>
    <row r="52" spans="1:13" ht="12.75" customHeight="1" x14ac:dyDescent="0.2">
      <c r="A52" s="420"/>
      <c r="B52" s="429"/>
      <c r="C52" s="429"/>
      <c r="D52" s="429"/>
      <c r="E52" s="429"/>
      <c r="F52" s="429"/>
      <c r="G52" s="429"/>
      <c r="H52" s="429"/>
      <c r="I52" s="429"/>
      <c r="J52" s="429"/>
      <c r="K52" s="429"/>
      <c r="L52" s="429"/>
      <c r="M52" s="420"/>
    </row>
    <row r="53" spans="1:13" ht="12.75" customHeight="1" x14ac:dyDescent="0.2">
      <c r="A53" s="420"/>
      <c r="B53" s="442"/>
      <c r="C53" s="442"/>
      <c r="D53" s="442"/>
      <c r="E53" s="442"/>
      <c r="F53" s="442"/>
      <c r="G53" s="442"/>
      <c r="H53" s="442"/>
      <c r="I53" s="442"/>
      <c r="J53" s="442"/>
      <c r="K53" s="442"/>
      <c r="L53" s="442"/>
      <c r="M53" s="420"/>
    </row>
    <row r="54" spans="1:13" x14ac:dyDescent="0.2">
      <c r="A54" s="420"/>
      <c r="B54" s="425"/>
      <c r="C54" s="425"/>
      <c r="D54" s="427"/>
      <c r="E54" s="427"/>
      <c r="F54" s="427"/>
      <c r="G54" s="427"/>
      <c r="H54" s="427"/>
      <c r="I54" s="427"/>
      <c r="J54" s="427"/>
      <c r="K54" s="427"/>
      <c r="L54" s="427"/>
      <c r="M54" s="420"/>
    </row>
    <row r="55" spans="1:13" x14ac:dyDescent="0.2">
      <c r="A55" s="420"/>
      <c r="B55" s="425"/>
      <c r="C55" s="425"/>
      <c r="D55" s="428"/>
      <c r="E55" s="427"/>
      <c r="F55" s="428"/>
      <c r="G55" s="428"/>
      <c r="H55" s="428"/>
      <c r="I55" s="427"/>
      <c r="J55" s="428"/>
      <c r="K55" s="428"/>
      <c r="L55" s="428"/>
      <c r="M55" s="420"/>
    </row>
    <row r="56" spans="1:13" ht="12.75" customHeight="1" x14ac:dyDescent="0.2">
      <c r="A56" s="420"/>
      <c r="B56" s="47"/>
      <c r="C56" s="425"/>
      <c r="D56" s="85" t="s">
        <v>123</v>
      </c>
      <c r="E56" s="427"/>
      <c r="F56" s="430" t="s">
        <v>144</v>
      </c>
      <c r="G56" s="430"/>
      <c r="H56" s="430"/>
      <c r="I56" s="427"/>
      <c r="J56" s="430" t="s">
        <v>143</v>
      </c>
      <c r="K56" s="430"/>
      <c r="L56" s="430"/>
      <c r="M56" s="420"/>
    </row>
    <row r="57" spans="1:13" x14ac:dyDescent="0.2">
      <c r="A57" s="420"/>
      <c r="B57" s="46"/>
      <c r="C57" s="425"/>
      <c r="D57" s="46" t="s">
        <v>118</v>
      </c>
      <c r="E57" s="427"/>
      <c r="F57" s="424" t="s">
        <v>95</v>
      </c>
      <c r="G57" s="424"/>
      <c r="H57" s="424"/>
      <c r="I57" s="427"/>
      <c r="J57" s="424" t="s">
        <v>105</v>
      </c>
      <c r="K57" s="424"/>
      <c r="L57" s="424"/>
      <c r="M57" s="420"/>
    </row>
    <row r="58" spans="1:13" x14ac:dyDescent="0.2">
      <c r="A58" s="420"/>
      <c r="B58" s="425"/>
      <c r="C58" s="425"/>
      <c r="D58" s="425"/>
      <c r="E58" s="425"/>
      <c r="F58" s="425"/>
      <c r="G58" s="425"/>
      <c r="H58" s="425"/>
      <c r="I58" s="425"/>
      <c r="J58" s="425"/>
      <c r="K58" s="425"/>
      <c r="L58" s="425"/>
      <c r="M58" s="420"/>
    </row>
  </sheetData>
  <mergeCells count="87">
    <mergeCell ref="B53:L53"/>
    <mergeCell ref="B58:L58"/>
    <mergeCell ref="I54:I57"/>
    <mergeCell ref="J54:L55"/>
    <mergeCell ref="F56:H56"/>
    <mergeCell ref="J56:L56"/>
    <mergeCell ref="F57:H57"/>
    <mergeCell ref="J57:L57"/>
    <mergeCell ref="B54:B55"/>
    <mergeCell ref="C54:C57"/>
    <mergeCell ref="D54:D55"/>
    <mergeCell ref="E54:E57"/>
    <mergeCell ref="F54:H55"/>
    <mergeCell ref="B46:L46"/>
    <mergeCell ref="B48:L48"/>
    <mergeCell ref="C49:L49"/>
    <mergeCell ref="B50:L51"/>
    <mergeCell ref="B52:L52"/>
    <mergeCell ref="I43:L43"/>
    <mergeCell ref="B44:L44"/>
    <mergeCell ref="C45:D45"/>
    <mergeCell ref="F45:H45"/>
    <mergeCell ref="I45:L45"/>
    <mergeCell ref="B29:L29"/>
    <mergeCell ref="F35:L35"/>
    <mergeCell ref="B36:L36"/>
    <mergeCell ref="C37:D37"/>
    <mergeCell ref="I37:J37"/>
    <mergeCell ref="A30:A58"/>
    <mergeCell ref="B30:I33"/>
    <mergeCell ref="J30:L33"/>
    <mergeCell ref="B34:L34"/>
    <mergeCell ref="C35:D35"/>
    <mergeCell ref="C39:G39"/>
    <mergeCell ref="I39:L39"/>
    <mergeCell ref="B38:L38"/>
    <mergeCell ref="C47:D47"/>
    <mergeCell ref="F47:H47"/>
    <mergeCell ref="I47:L47"/>
    <mergeCell ref="B40:L40"/>
    <mergeCell ref="C41:L41"/>
    <mergeCell ref="B42:L42"/>
    <mergeCell ref="C43:D43"/>
    <mergeCell ref="F43:H43"/>
    <mergeCell ref="B21:L22"/>
    <mergeCell ref="B23:L23"/>
    <mergeCell ref="B24:L24"/>
    <mergeCell ref="B25:B26"/>
    <mergeCell ref="C25:C28"/>
    <mergeCell ref="D25:D26"/>
    <mergeCell ref="E25:E28"/>
    <mergeCell ref="F25:H26"/>
    <mergeCell ref="I25:I28"/>
    <mergeCell ref="J25:L26"/>
    <mergeCell ref="F27:H27"/>
    <mergeCell ref="J27:L27"/>
    <mergeCell ref="F28:H28"/>
    <mergeCell ref="J28:L28"/>
    <mergeCell ref="C20:L20"/>
    <mergeCell ref="C14:D14"/>
    <mergeCell ref="F14:H14"/>
    <mergeCell ref="I14:L14"/>
    <mergeCell ref="B15:L15"/>
    <mergeCell ref="C16:D16"/>
    <mergeCell ref="F16:H16"/>
    <mergeCell ref="I16:L16"/>
    <mergeCell ref="B17:L17"/>
    <mergeCell ref="C18:D18"/>
    <mergeCell ref="F18:H18"/>
    <mergeCell ref="I18:L18"/>
    <mergeCell ref="B19:L19"/>
    <mergeCell ref="B13:L13"/>
    <mergeCell ref="A1:A29"/>
    <mergeCell ref="B1:I4"/>
    <mergeCell ref="J1:L4"/>
    <mergeCell ref="M1:M58"/>
    <mergeCell ref="B5:L5"/>
    <mergeCell ref="C6:D6"/>
    <mergeCell ref="F6:L6"/>
    <mergeCell ref="B7:L7"/>
    <mergeCell ref="C8:D8"/>
    <mergeCell ref="I8:J8"/>
    <mergeCell ref="B9:L9"/>
    <mergeCell ref="C10:G10"/>
    <mergeCell ref="I10:L10"/>
    <mergeCell ref="B11:L11"/>
    <mergeCell ref="C12:L12"/>
  </mergeCells>
  <pageMargins left="0.23622047244094491" right="0.23622047244094491" top="0.74803149606299213" bottom="0.74803149606299213" header="0" footer="0"/>
  <pageSetup orientation="portrait" horizontalDpi="4294967292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9">
    <tabColor rgb="FFFF0000"/>
  </sheetPr>
  <dimension ref="A1:M59"/>
  <sheetViews>
    <sheetView showGridLines="0" view="pageBreakPreview" zoomScale="90" zoomScaleNormal="90" zoomScaleSheetLayoutView="90" zoomScalePageLayoutView="90" workbookViewId="0">
      <selection activeCell="J28" sqref="J28:L28"/>
    </sheetView>
  </sheetViews>
  <sheetFormatPr baseColWidth="10" defaultRowHeight="15" x14ac:dyDescent="0.2"/>
  <cols>
    <col min="1" max="1" width="2.33203125" customWidth="1"/>
    <col min="2" max="2" width="17.5" customWidth="1"/>
    <col min="3" max="3" width="3.5" customWidth="1"/>
    <col min="4" max="4" width="24.5" customWidth="1"/>
    <col min="5" max="5" width="2.5" customWidth="1"/>
    <col min="6" max="6" width="4.6640625" customWidth="1"/>
    <col min="7" max="7" width="9.5" customWidth="1"/>
    <col min="8" max="8" width="6.33203125" customWidth="1"/>
    <col min="9" max="9" width="2.6640625" customWidth="1"/>
    <col min="10" max="10" width="7.6640625" customWidth="1"/>
    <col min="11" max="11" width="4.33203125" customWidth="1"/>
    <col min="12" max="12" width="10.6640625" customWidth="1"/>
    <col min="13" max="13" width="3.1640625" customWidth="1"/>
  </cols>
  <sheetData>
    <row r="1" spans="1:13" ht="12.75" customHeight="1" x14ac:dyDescent="0.2">
      <c r="A1" s="420"/>
      <c r="B1" s="231"/>
      <c r="C1" s="231"/>
      <c r="D1" s="231"/>
      <c r="E1" s="231"/>
      <c r="F1" s="231"/>
      <c r="G1" s="231"/>
      <c r="H1" s="231"/>
      <c r="I1" s="231"/>
      <c r="J1" s="437" t="s">
        <v>126</v>
      </c>
      <c r="K1" s="437"/>
      <c r="L1" s="437"/>
      <c r="M1" s="420"/>
    </row>
    <row r="2" spans="1:13" ht="12.75" customHeight="1" x14ac:dyDescent="0.2">
      <c r="A2" s="420"/>
      <c r="B2" s="231"/>
      <c r="C2" s="231"/>
      <c r="D2" s="231"/>
      <c r="E2" s="231"/>
      <c r="F2" s="231"/>
      <c r="G2" s="231"/>
      <c r="H2" s="231"/>
      <c r="I2" s="231"/>
      <c r="J2" s="437"/>
      <c r="K2" s="437"/>
      <c r="L2" s="437"/>
      <c r="M2" s="420"/>
    </row>
    <row r="3" spans="1:13" ht="12.75" customHeight="1" x14ac:dyDescent="0.2">
      <c r="A3" s="420"/>
      <c r="B3" s="231"/>
      <c r="C3" s="231"/>
      <c r="D3" s="231"/>
      <c r="E3" s="231"/>
      <c r="F3" s="231"/>
      <c r="G3" s="231"/>
      <c r="H3" s="231"/>
      <c r="I3" s="231"/>
      <c r="J3" s="437"/>
      <c r="K3" s="437"/>
      <c r="L3" s="437"/>
      <c r="M3" s="420"/>
    </row>
    <row r="4" spans="1:13" ht="12.75" customHeight="1" x14ac:dyDescent="0.2">
      <c r="A4" s="420"/>
      <c r="B4" s="231"/>
      <c r="C4" s="231"/>
      <c r="D4" s="231"/>
      <c r="E4" s="231"/>
      <c r="F4" s="231"/>
      <c r="G4" s="231"/>
      <c r="H4" s="231"/>
      <c r="I4" s="231"/>
      <c r="J4" s="437"/>
      <c r="K4" s="437"/>
      <c r="L4" s="437"/>
      <c r="M4" s="420"/>
    </row>
    <row r="5" spans="1:13" ht="12.75" customHeight="1" x14ac:dyDescent="0.2">
      <c r="A5" s="420"/>
      <c r="B5" s="420"/>
      <c r="C5" s="420"/>
      <c r="D5" s="420"/>
      <c r="E5" s="420"/>
      <c r="F5" s="420"/>
      <c r="G5" s="420"/>
      <c r="H5" s="420"/>
      <c r="I5" s="420"/>
      <c r="J5" s="420"/>
      <c r="K5" s="420"/>
      <c r="L5" s="420"/>
      <c r="M5" s="420"/>
    </row>
    <row r="6" spans="1:13" ht="12.75" customHeight="1" x14ac:dyDescent="0.2">
      <c r="A6" s="420"/>
      <c r="B6" s="41" t="s">
        <v>0</v>
      </c>
      <c r="C6" s="431">
        <f ca="1">(CAPTURA!E8)</f>
        <v>46079</v>
      </c>
      <c r="D6" s="422"/>
      <c r="E6" s="42"/>
      <c r="F6" s="432" t="s">
        <v>122</v>
      </c>
      <c r="G6" s="432"/>
      <c r="H6" s="432"/>
      <c r="I6" s="432"/>
      <c r="J6" s="432"/>
      <c r="K6" s="432"/>
      <c r="L6" s="432"/>
      <c r="M6" s="420"/>
    </row>
    <row r="7" spans="1:13" ht="8" customHeight="1" x14ac:dyDescent="0.2">
      <c r="A7" s="420"/>
      <c r="B7" s="420"/>
      <c r="C7" s="420"/>
      <c r="D7" s="420"/>
      <c r="E7" s="420"/>
      <c r="F7" s="420"/>
      <c r="G7" s="420"/>
      <c r="H7" s="420"/>
      <c r="I7" s="420"/>
      <c r="J7" s="420"/>
      <c r="K7" s="420"/>
      <c r="L7" s="420"/>
      <c r="M7" s="420"/>
    </row>
    <row r="8" spans="1:13" ht="12.75" customHeight="1" x14ac:dyDescent="0.2">
      <c r="A8" s="420"/>
      <c r="B8" s="41" t="s">
        <v>99</v>
      </c>
      <c r="C8" s="422" t="str">
        <f>(CAPTURA!I17)</f>
        <v>SANTTE RESIDENCIAL</v>
      </c>
      <c r="D8" s="422"/>
      <c r="E8" s="42"/>
      <c r="F8" s="41" t="s">
        <v>107</v>
      </c>
      <c r="G8" s="43">
        <f>(CAPTURA!I19)</f>
        <v>45</v>
      </c>
      <c r="H8" s="41" t="s">
        <v>76</v>
      </c>
      <c r="I8" s="433">
        <f>(CAPTURA!I20)</f>
        <v>16</v>
      </c>
      <c r="J8" s="433"/>
      <c r="K8" s="41" t="s">
        <v>108</v>
      </c>
      <c r="L8" s="43">
        <f>(CAPTURA!I21)</f>
        <v>114</v>
      </c>
      <c r="M8" s="420"/>
    </row>
    <row r="9" spans="1:13" ht="8" customHeight="1" x14ac:dyDescent="0.2">
      <c r="A9" s="420"/>
      <c r="B9" s="420"/>
      <c r="C9" s="420"/>
      <c r="D9" s="420"/>
      <c r="E9" s="420"/>
      <c r="F9" s="420"/>
      <c r="G9" s="420"/>
      <c r="H9" s="420"/>
      <c r="I9" s="420"/>
      <c r="J9" s="420"/>
      <c r="K9" s="420"/>
      <c r="L9" s="420"/>
      <c r="M9" s="420"/>
    </row>
    <row r="10" spans="1:13" ht="12.75" customHeight="1" x14ac:dyDescent="0.2">
      <c r="A10" s="420"/>
      <c r="B10" s="41" t="s">
        <v>109</v>
      </c>
      <c r="C10" s="422">
        <f>(CAPTURA!E34)</f>
        <v>0</v>
      </c>
      <c r="D10" s="422"/>
      <c r="E10" s="422"/>
      <c r="F10" s="422"/>
      <c r="G10" s="422"/>
      <c r="H10" s="41" t="s">
        <v>110</v>
      </c>
      <c r="I10" s="434">
        <f>(CAPTURA!I24)</f>
        <v>166.929</v>
      </c>
      <c r="J10" s="422"/>
      <c r="K10" s="422"/>
      <c r="L10" s="422"/>
      <c r="M10" s="420"/>
    </row>
    <row r="11" spans="1:13" ht="8" customHeight="1" x14ac:dyDescent="0.2">
      <c r="A11" s="420"/>
      <c r="B11" s="420"/>
      <c r="C11" s="420"/>
      <c r="D11" s="420"/>
      <c r="E11" s="420"/>
      <c r="F11" s="420"/>
      <c r="G11" s="420"/>
      <c r="H11" s="420"/>
      <c r="I11" s="420"/>
      <c r="J11" s="420"/>
      <c r="K11" s="420"/>
      <c r="L11" s="420"/>
      <c r="M11" s="420"/>
    </row>
    <row r="12" spans="1:13" ht="12.75" customHeight="1" x14ac:dyDescent="0.2">
      <c r="A12" s="420"/>
      <c r="B12" s="37" t="s">
        <v>6</v>
      </c>
      <c r="C12" s="422">
        <f>(CAPTURA!E35)</f>
        <v>0</v>
      </c>
      <c r="D12" s="422"/>
      <c r="E12" s="422"/>
      <c r="F12" s="422"/>
      <c r="G12" s="422"/>
      <c r="H12" s="422"/>
      <c r="I12" s="422"/>
      <c r="J12" s="422"/>
      <c r="K12" s="422"/>
      <c r="L12" s="422"/>
      <c r="M12" s="420"/>
    </row>
    <row r="13" spans="1:13" ht="8" customHeight="1" x14ac:dyDescent="0.2">
      <c r="A13" s="420"/>
      <c r="B13" s="420"/>
      <c r="C13" s="420"/>
      <c r="D13" s="420"/>
      <c r="E13" s="420"/>
      <c r="F13" s="420"/>
      <c r="G13" s="420"/>
      <c r="H13" s="420"/>
      <c r="I13" s="420"/>
      <c r="J13" s="420"/>
      <c r="K13" s="420"/>
      <c r="L13" s="420"/>
      <c r="M13" s="420"/>
    </row>
    <row r="14" spans="1:13" ht="12.75" customHeight="1" x14ac:dyDescent="0.2">
      <c r="A14" s="420"/>
      <c r="B14" s="41" t="s">
        <v>111</v>
      </c>
      <c r="C14" s="421">
        <f>(CAPTURA!I26)</f>
        <v>2100000</v>
      </c>
      <c r="D14" s="421"/>
      <c r="E14" s="42"/>
      <c r="F14" s="435" t="s">
        <v>112</v>
      </c>
      <c r="G14" s="435"/>
      <c r="H14" s="435"/>
      <c r="I14" s="421">
        <f>(CAPTURA!I25)</f>
        <v>12580.19876714052</v>
      </c>
      <c r="J14" s="421"/>
      <c r="K14" s="421"/>
      <c r="L14" s="421"/>
      <c r="M14" s="420"/>
    </row>
    <row r="15" spans="1:13" ht="8" customHeight="1" x14ac:dyDescent="0.2">
      <c r="A15" s="420"/>
      <c r="B15" s="420"/>
      <c r="C15" s="420"/>
      <c r="D15" s="420"/>
      <c r="E15" s="420"/>
      <c r="F15" s="420"/>
      <c r="G15" s="420"/>
      <c r="H15" s="420"/>
      <c r="I15" s="420"/>
      <c r="J15" s="420"/>
      <c r="K15" s="420"/>
      <c r="L15" s="420"/>
      <c r="M15" s="420"/>
    </row>
    <row r="16" spans="1:13" ht="12.75" customHeight="1" x14ac:dyDescent="0.2">
      <c r="A16" s="420"/>
      <c r="B16" s="41" t="s">
        <v>113</v>
      </c>
      <c r="C16" s="422">
        <f>(CAPTURA!I23)</f>
        <v>0</v>
      </c>
      <c r="D16" s="422"/>
      <c r="E16" s="44"/>
      <c r="F16" s="435" t="s">
        <v>74</v>
      </c>
      <c r="G16" s="435"/>
      <c r="H16" s="435"/>
      <c r="I16" s="422" t="str">
        <f>(CAPTURA!I18)</f>
        <v>TERRENO</v>
      </c>
      <c r="J16" s="422"/>
      <c r="K16" s="422"/>
      <c r="L16" s="422"/>
      <c r="M16" s="420"/>
    </row>
    <row r="17" spans="1:13" ht="8" customHeight="1" x14ac:dyDescent="0.2">
      <c r="A17" s="420"/>
      <c r="B17" s="420"/>
      <c r="C17" s="420"/>
      <c r="D17" s="420"/>
      <c r="E17" s="420"/>
      <c r="F17" s="420"/>
      <c r="G17" s="420"/>
      <c r="H17" s="420"/>
      <c r="I17" s="420"/>
      <c r="J17" s="420"/>
      <c r="K17" s="420"/>
      <c r="L17" s="420"/>
      <c r="M17" s="420"/>
    </row>
    <row r="18" spans="1:13" ht="12.75" customHeight="1" x14ac:dyDescent="0.2">
      <c r="A18" s="420"/>
      <c r="B18" s="41" t="s">
        <v>127</v>
      </c>
      <c r="C18" s="422"/>
      <c r="D18" s="422"/>
      <c r="E18" s="44"/>
      <c r="F18" s="435" t="s">
        <v>124</v>
      </c>
      <c r="G18" s="435"/>
      <c r="H18" s="435"/>
      <c r="I18" s="423"/>
      <c r="J18" s="422"/>
      <c r="K18" s="422"/>
      <c r="L18" s="422"/>
      <c r="M18" s="420"/>
    </row>
    <row r="19" spans="1:13" ht="8" customHeight="1" x14ac:dyDescent="0.2">
      <c r="A19" s="420"/>
      <c r="B19" s="420"/>
      <c r="C19" s="420"/>
      <c r="D19" s="420"/>
      <c r="E19" s="420"/>
      <c r="F19" s="420"/>
      <c r="G19" s="420"/>
      <c r="H19" s="420"/>
      <c r="I19" s="420"/>
      <c r="J19" s="420"/>
      <c r="K19" s="420"/>
      <c r="L19" s="420"/>
      <c r="M19" s="420"/>
    </row>
    <row r="20" spans="1:13" ht="12.75" customHeight="1" x14ac:dyDescent="0.2">
      <c r="A20" s="420"/>
      <c r="B20" s="41" t="s">
        <v>116</v>
      </c>
      <c r="C20" s="420"/>
      <c r="D20" s="420"/>
      <c r="E20" s="420"/>
      <c r="F20" s="420"/>
      <c r="G20" s="420"/>
      <c r="H20" s="420"/>
      <c r="I20" s="420"/>
      <c r="J20" s="420"/>
      <c r="K20" s="420"/>
      <c r="L20" s="420"/>
      <c r="M20" s="420"/>
    </row>
    <row r="21" spans="1:13" ht="12.75" customHeight="1" x14ac:dyDescent="0.2">
      <c r="A21" s="420"/>
      <c r="B21" s="441"/>
      <c r="C21" s="441"/>
      <c r="D21" s="441"/>
      <c r="E21" s="441"/>
      <c r="F21" s="441"/>
      <c r="G21" s="441"/>
      <c r="H21" s="441"/>
      <c r="I21" s="441"/>
      <c r="J21" s="441"/>
      <c r="K21" s="441"/>
      <c r="L21" s="441"/>
      <c r="M21" s="420"/>
    </row>
    <row r="22" spans="1:13" ht="12.75" customHeight="1" x14ac:dyDescent="0.2">
      <c r="A22" s="420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420"/>
    </row>
    <row r="23" spans="1:13" ht="12.75" customHeight="1" x14ac:dyDescent="0.2">
      <c r="A23" s="420"/>
      <c r="B23" s="429"/>
      <c r="C23" s="429"/>
      <c r="D23" s="429"/>
      <c r="E23" s="429"/>
      <c r="F23" s="429"/>
      <c r="G23" s="429"/>
      <c r="H23" s="429"/>
      <c r="I23" s="429"/>
      <c r="J23" s="429"/>
      <c r="K23" s="429"/>
      <c r="L23" s="429"/>
      <c r="M23" s="420"/>
    </row>
    <row r="24" spans="1:13" ht="12.75" customHeight="1" x14ac:dyDescent="0.2">
      <c r="A24" s="420"/>
      <c r="B24" s="429"/>
      <c r="C24" s="429"/>
      <c r="D24" s="429"/>
      <c r="E24" s="429"/>
      <c r="F24" s="429"/>
      <c r="G24" s="429"/>
      <c r="H24" s="429"/>
      <c r="I24" s="429"/>
      <c r="J24" s="429"/>
      <c r="K24" s="429"/>
      <c r="L24" s="429"/>
      <c r="M24" s="420"/>
    </row>
    <row r="25" spans="1:13" ht="12.75" customHeight="1" x14ac:dyDescent="0.2">
      <c r="A25" s="420"/>
      <c r="B25" s="420"/>
      <c r="C25" s="420"/>
      <c r="D25" s="474"/>
      <c r="E25" s="474"/>
      <c r="F25" s="474"/>
      <c r="G25" s="474"/>
      <c r="H25" s="474"/>
      <c r="I25" s="474"/>
      <c r="J25" s="474"/>
      <c r="K25" s="474"/>
      <c r="L25" s="474"/>
      <c r="M25" s="420"/>
    </row>
    <row r="26" spans="1:13" ht="12.75" customHeight="1" x14ac:dyDescent="0.2">
      <c r="A26" s="420"/>
      <c r="B26" s="420"/>
      <c r="C26" s="420"/>
      <c r="D26" s="475"/>
      <c r="E26" s="474"/>
      <c r="F26" s="475"/>
      <c r="G26" s="475"/>
      <c r="H26" s="475"/>
      <c r="I26" s="474"/>
      <c r="J26" s="475"/>
      <c r="K26" s="475"/>
      <c r="L26" s="475"/>
      <c r="M26" s="420"/>
    </row>
    <row r="27" spans="1:13" ht="12.75" customHeight="1" x14ac:dyDescent="0.2">
      <c r="A27" s="420"/>
      <c r="B27" s="45"/>
      <c r="C27" s="420"/>
      <c r="D27" s="85" t="s">
        <v>128</v>
      </c>
      <c r="E27" s="474"/>
      <c r="F27" s="443" t="s">
        <v>123</v>
      </c>
      <c r="G27" s="443"/>
      <c r="H27" s="443"/>
      <c r="I27" s="474"/>
      <c r="J27" s="430" t="s">
        <v>143</v>
      </c>
      <c r="K27" s="430"/>
      <c r="L27" s="430"/>
      <c r="M27" s="420"/>
    </row>
    <row r="28" spans="1:13" ht="20" customHeight="1" x14ac:dyDescent="0.2">
      <c r="A28" s="420"/>
      <c r="B28" s="38"/>
      <c r="C28" s="420"/>
      <c r="D28" s="46" t="s">
        <v>129</v>
      </c>
      <c r="E28" s="474"/>
      <c r="F28" s="424" t="s">
        <v>125</v>
      </c>
      <c r="G28" s="424"/>
      <c r="H28" s="424"/>
      <c r="I28" s="474"/>
      <c r="J28" s="440" t="s">
        <v>105</v>
      </c>
      <c r="K28" s="440"/>
      <c r="L28" s="440"/>
      <c r="M28" s="420"/>
    </row>
    <row r="29" spans="1:13" ht="12.75" customHeight="1" x14ac:dyDescent="0.2">
      <c r="A29" s="420"/>
      <c r="B29" s="420"/>
      <c r="C29" s="420"/>
      <c r="D29" s="420"/>
      <c r="E29" s="420"/>
      <c r="F29" s="420"/>
      <c r="G29" s="420"/>
      <c r="H29" s="420"/>
      <c r="I29" s="420"/>
      <c r="J29" s="420"/>
      <c r="K29" s="420"/>
      <c r="L29" s="420"/>
      <c r="M29" s="420"/>
    </row>
    <row r="30" spans="1:13" ht="12.75" customHeight="1" x14ac:dyDescent="0.2">
      <c r="A30" s="420"/>
      <c r="B30" s="231"/>
      <c r="C30" s="231"/>
      <c r="D30" s="231"/>
      <c r="E30" s="231"/>
      <c r="F30" s="231"/>
      <c r="G30" s="231"/>
      <c r="H30" s="231"/>
      <c r="I30" s="231"/>
      <c r="J30" s="437" t="s">
        <v>126</v>
      </c>
      <c r="K30" s="437"/>
      <c r="L30" s="437"/>
      <c r="M30" s="420"/>
    </row>
    <row r="31" spans="1:13" ht="12.75" customHeight="1" x14ac:dyDescent="0.2">
      <c r="A31" s="420"/>
      <c r="B31" s="231"/>
      <c r="C31" s="231"/>
      <c r="D31" s="231"/>
      <c r="E31" s="231"/>
      <c r="F31" s="231"/>
      <c r="G31" s="231"/>
      <c r="H31" s="231"/>
      <c r="I31" s="231"/>
      <c r="J31" s="437"/>
      <c r="K31" s="437"/>
      <c r="L31" s="437"/>
      <c r="M31" s="420"/>
    </row>
    <row r="32" spans="1:13" ht="12.75" customHeight="1" x14ac:dyDescent="0.2">
      <c r="A32" s="420"/>
      <c r="B32" s="231"/>
      <c r="C32" s="231"/>
      <c r="D32" s="231"/>
      <c r="E32" s="231"/>
      <c r="F32" s="231"/>
      <c r="G32" s="231"/>
      <c r="H32" s="231"/>
      <c r="I32" s="231"/>
      <c r="J32" s="437"/>
      <c r="K32" s="437"/>
      <c r="L32" s="437"/>
      <c r="M32" s="420"/>
    </row>
    <row r="33" spans="1:13" ht="12.75" customHeight="1" x14ac:dyDescent="0.2">
      <c r="A33" s="420"/>
      <c r="B33" s="231"/>
      <c r="C33" s="231"/>
      <c r="D33" s="231"/>
      <c r="E33" s="231"/>
      <c r="F33" s="231"/>
      <c r="G33" s="231"/>
      <c r="H33" s="231"/>
      <c r="I33" s="231"/>
      <c r="J33" s="437"/>
      <c r="K33" s="437"/>
      <c r="L33" s="437"/>
      <c r="M33" s="420"/>
    </row>
    <row r="34" spans="1:13" ht="12.75" customHeight="1" x14ac:dyDescent="0.2">
      <c r="A34" s="420"/>
      <c r="B34" s="420"/>
      <c r="C34" s="420"/>
      <c r="D34" s="420"/>
      <c r="E34" s="420"/>
      <c r="F34" s="420"/>
      <c r="G34" s="420"/>
      <c r="H34" s="420"/>
      <c r="I34" s="420"/>
      <c r="J34" s="420"/>
      <c r="K34" s="420"/>
      <c r="L34" s="420"/>
      <c r="M34" s="420"/>
    </row>
    <row r="35" spans="1:13" ht="12.75" customHeight="1" x14ac:dyDescent="0.2">
      <c r="A35" s="420"/>
      <c r="B35" s="41" t="s">
        <v>0</v>
      </c>
      <c r="C35" s="431">
        <f ca="1">(CAPTURA!E8)</f>
        <v>46079</v>
      </c>
      <c r="D35" s="422"/>
      <c r="E35" s="42"/>
      <c r="F35" s="432" t="s">
        <v>122</v>
      </c>
      <c r="G35" s="432"/>
      <c r="H35" s="432"/>
      <c r="I35" s="432"/>
      <c r="J35" s="432"/>
      <c r="K35" s="432"/>
      <c r="L35" s="432"/>
      <c r="M35" s="420"/>
    </row>
    <row r="36" spans="1:13" ht="8" customHeight="1" x14ac:dyDescent="0.2">
      <c r="A36" s="420"/>
      <c r="B36" s="420"/>
      <c r="C36" s="420"/>
      <c r="D36" s="420"/>
      <c r="E36" s="420"/>
      <c r="F36" s="420"/>
      <c r="G36" s="420"/>
      <c r="H36" s="420"/>
      <c r="I36" s="420"/>
      <c r="J36" s="420"/>
      <c r="K36" s="420"/>
      <c r="L36" s="420"/>
      <c r="M36" s="420"/>
    </row>
    <row r="37" spans="1:13" ht="12.75" customHeight="1" x14ac:dyDescent="0.2">
      <c r="A37" s="420"/>
      <c r="B37" s="41" t="s">
        <v>99</v>
      </c>
      <c r="C37" s="422" t="str">
        <f>(CAPTURA!I17)</f>
        <v>SANTTE RESIDENCIAL</v>
      </c>
      <c r="D37" s="422"/>
      <c r="E37" s="42"/>
      <c r="F37" s="41" t="s">
        <v>107</v>
      </c>
      <c r="G37" s="43">
        <f>(CAPTURA!I19)</f>
        <v>45</v>
      </c>
      <c r="H37" s="41" t="s">
        <v>76</v>
      </c>
      <c r="I37" s="433">
        <f>(CAPTURA!I20)</f>
        <v>16</v>
      </c>
      <c r="J37" s="433"/>
      <c r="K37" s="41" t="s">
        <v>108</v>
      </c>
      <c r="L37" s="43">
        <f>(CAPTURA!I21)</f>
        <v>114</v>
      </c>
      <c r="M37" s="420"/>
    </row>
    <row r="38" spans="1:13" ht="8" customHeight="1" x14ac:dyDescent="0.2">
      <c r="A38" s="420"/>
      <c r="B38" s="420"/>
      <c r="C38" s="420"/>
      <c r="D38" s="420"/>
      <c r="E38" s="420"/>
      <c r="F38" s="420"/>
      <c r="G38" s="420"/>
      <c r="H38" s="420"/>
      <c r="I38" s="420"/>
      <c r="J38" s="420"/>
      <c r="K38" s="420"/>
      <c r="L38" s="420"/>
      <c r="M38" s="420"/>
    </row>
    <row r="39" spans="1:13" ht="12.75" customHeight="1" x14ac:dyDescent="0.2">
      <c r="A39" s="420"/>
      <c r="B39" s="41" t="s">
        <v>109</v>
      </c>
      <c r="C39" s="422">
        <f>(CAPTURA!E34)</f>
        <v>0</v>
      </c>
      <c r="D39" s="422"/>
      <c r="E39" s="422"/>
      <c r="F39" s="422"/>
      <c r="G39" s="422"/>
      <c r="H39" s="41" t="s">
        <v>110</v>
      </c>
      <c r="I39" s="434">
        <f>(CAPTURA!I24)</f>
        <v>166.929</v>
      </c>
      <c r="J39" s="422"/>
      <c r="K39" s="422"/>
      <c r="L39" s="422"/>
      <c r="M39" s="420"/>
    </row>
    <row r="40" spans="1:13" ht="8" customHeight="1" x14ac:dyDescent="0.2">
      <c r="A40" s="420"/>
      <c r="B40" s="420"/>
      <c r="C40" s="420"/>
      <c r="D40" s="420"/>
      <c r="E40" s="420"/>
      <c r="F40" s="420"/>
      <c r="G40" s="420"/>
      <c r="H40" s="420"/>
      <c r="I40" s="420"/>
      <c r="J40" s="420"/>
      <c r="K40" s="420"/>
      <c r="L40" s="420"/>
      <c r="M40" s="420"/>
    </row>
    <row r="41" spans="1:13" ht="12.75" customHeight="1" x14ac:dyDescent="0.2">
      <c r="A41" s="420"/>
      <c r="B41" s="37" t="s">
        <v>6</v>
      </c>
      <c r="C41" s="422">
        <f>(CAPTURA!E35)</f>
        <v>0</v>
      </c>
      <c r="D41" s="422"/>
      <c r="E41" s="422"/>
      <c r="F41" s="422"/>
      <c r="G41" s="422"/>
      <c r="H41" s="422"/>
      <c r="I41" s="422"/>
      <c r="J41" s="422"/>
      <c r="K41" s="422"/>
      <c r="L41" s="422"/>
      <c r="M41" s="420"/>
    </row>
    <row r="42" spans="1:13" ht="8" customHeight="1" x14ac:dyDescent="0.2">
      <c r="A42" s="420"/>
      <c r="B42" s="420"/>
      <c r="C42" s="420"/>
      <c r="D42" s="420"/>
      <c r="E42" s="420"/>
      <c r="F42" s="420"/>
      <c r="G42" s="420"/>
      <c r="H42" s="420"/>
      <c r="I42" s="420"/>
      <c r="J42" s="420"/>
      <c r="K42" s="420"/>
      <c r="L42" s="420"/>
      <c r="M42" s="420"/>
    </row>
    <row r="43" spans="1:13" ht="12.75" customHeight="1" x14ac:dyDescent="0.2">
      <c r="A43" s="420"/>
      <c r="B43" s="41" t="s">
        <v>111</v>
      </c>
      <c r="C43" s="421">
        <f>(CAPTURA!I26)</f>
        <v>2100000</v>
      </c>
      <c r="D43" s="421"/>
      <c r="E43" s="42"/>
      <c r="F43" s="435" t="s">
        <v>112</v>
      </c>
      <c r="G43" s="435"/>
      <c r="H43" s="435"/>
      <c r="I43" s="421">
        <f>(CAPTURA!I25)</f>
        <v>12580.19876714052</v>
      </c>
      <c r="J43" s="421"/>
      <c r="K43" s="421"/>
      <c r="L43" s="421"/>
      <c r="M43" s="420"/>
    </row>
    <row r="44" spans="1:13" ht="8" customHeight="1" x14ac:dyDescent="0.2">
      <c r="A44" s="420"/>
      <c r="B44" s="420"/>
      <c r="C44" s="420"/>
      <c r="D44" s="420"/>
      <c r="E44" s="420"/>
      <c r="F44" s="420"/>
      <c r="G44" s="420"/>
      <c r="H44" s="420"/>
      <c r="I44" s="420"/>
      <c r="J44" s="420"/>
      <c r="K44" s="420"/>
      <c r="L44" s="420"/>
      <c r="M44" s="420"/>
    </row>
    <row r="45" spans="1:13" ht="12.75" customHeight="1" x14ac:dyDescent="0.2">
      <c r="A45" s="420"/>
      <c r="B45" s="41" t="s">
        <v>113</v>
      </c>
      <c r="C45" s="422">
        <f>(CAPTURA!I23)</f>
        <v>0</v>
      </c>
      <c r="D45" s="422"/>
      <c r="E45" s="44"/>
      <c r="F45" s="435" t="s">
        <v>74</v>
      </c>
      <c r="G45" s="435"/>
      <c r="H45" s="435"/>
      <c r="I45" s="422" t="str">
        <f>(CAPTURA!I18)</f>
        <v>TERRENO</v>
      </c>
      <c r="J45" s="422"/>
      <c r="K45" s="422"/>
      <c r="L45" s="422"/>
      <c r="M45" s="420"/>
    </row>
    <row r="46" spans="1:13" ht="8" customHeight="1" x14ac:dyDescent="0.2">
      <c r="A46" s="420"/>
      <c r="B46" s="438"/>
      <c r="C46" s="438"/>
      <c r="D46" s="438"/>
      <c r="E46" s="438"/>
      <c r="F46" s="438"/>
      <c r="G46" s="438"/>
      <c r="H46" s="438"/>
      <c r="I46" s="438"/>
      <c r="J46" s="438"/>
      <c r="K46" s="438"/>
      <c r="L46" s="438"/>
      <c r="M46" s="420"/>
    </row>
    <row r="47" spans="1:13" ht="12.75" customHeight="1" x14ac:dyDescent="0.2">
      <c r="A47" s="420"/>
      <c r="B47" s="41" t="s">
        <v>127</v>
      </c>
      <c r="C47" s="422"/>
      <c r="D47" s="422"/>
      <c r="E47" s="44"/>
      <c r="F47" s="435" t="s">
        <v>124</v>
      </c>
      <c r="G47" s="435"/>
      <c r="H47" s="435"/>
      <c r="I47" s="423"/>
      <c r="J47" s="422"/>
      <c r="K47" s="422"/>
      <c r="L47" s="422"/>
      <c r="M47" s="420"/>
    </row>
    <row r="48" spans="1:13" ht="8" customHeight="1" x14ac:dyDescent="0.2">
      <c r="A48" s="420"/>
      <c r="B48" s="420"/>
      <c r="C48" s="420"/>
      <c r="D48" s="420"/>
      <c r="E48" s="420"/>
      <c r="F48" s="420"/>
      <c r="G48" s="420"/>
      <c r="H48" s="420"/>
      <c r="I48" s="420"/>
      <c r="J48" s="420"/>
      <c r="K48" s="420"/>
      <c r="L48" s="420"/>
      <c r="M48" s="420"/>
    </row>
    <row r="49" spans="1:13" ht="12.75" customHeight="1" x14ac:dyDescent="0.2">
      <c r="A49" s="420"/>
      <c r="B49" s="41" t="s">
        <v>116</v>
      </c>
      <c r="C49" s="420"/>
      <c r="D49" s="420"/>
      <c r="E49" s="420"/>
      <c r="F49" s="420"/>
      <c r="G49" s="420"/>
      <c r="H49" s="420"/>
      <c r="I49" s="420"/>
      <c r="J49" s="420"/>
      <c r="K49" s="420"/>
      <c r="L49" s="420"/>
      <c r="M49" s="420"/>
    </row>
    <row r="50" spans="1:13" ht="12.75" customHeight="1" x14ac:dyDescent="0.2">
      <c r="A50" s="420"/>
      <c r="B50" s="422"/>
      <c r="C50" s="422"/>
      <c r="D50" s="422"/>
      <c r="E50" s="422"/>
      <c r="F50" s="422"/>
      <c r="G50" s="422"/>
      <c r="H50" s="422"/>
      <c r="I50" s="422"/>
      <c r="J50" s="422"/>
      <c r="K50" s="422"/>
      <c r="L50" s="88"/>
      <c r="M50" s="420"/>
    </row>
    <row r="51" spans="1:13" ht="12.75" customHeight="1" x14ac:dyDescent="0.2">
      <c r="A51" s="420"/>
      <c r="B51" s="429"/>
      <c r="C51" s="429"/>
      <c r="D51" s="429"/>
      <c r="E51" s="429"/>
      <c r="F51" s="429"/>
      <c r="G51" s="429"/>
      <c r="H51" s="429"/>
      <c r="I51" s="429"/>
      <c r="J51" s="429"/>
      <c r="K51" s="429"/>
      <c r="L51" s="429"/>
      <c r="M51" s="420"/>
    </row>
    <row r="52" spans="1:13" ht="12.75" customHeight="1" x14ac:dyDescent="0.2">
      <c r="A52" s="420"/>
      <c r="B52" s="429"/>
      <c r="C52" s="429"/>
      <c r="D52" s="429"/>
      <c r="E52" s="429"/>
      <c r="F52" s="429"/>
      <c r="G52" s="429"/>
      <c r="H52" s="429"/>
      <c r="I52" s="429"/>
      <c r="J52" s="429"/>
      <c r="K52" s="429"/>
      <c r="L52" s="429"/>
      <c r="M52" s="420"/>
    </row>
    <row r="53" spans="1:13" ht="12.75" customHeight="1" x14ac:dyDescent="0.2">
      <c r="A53" s="420"/>
      <c r="B53" s="442"/>
      <c r="C53" s="442"/>
      <c r="D53" s="442"/>
      <c r="E53" s="442"/>
      <c r="F53" s="442"/>
      <c r="G53" s="442"/>
      <c r="H53" s="442"/>
      <c r="I53" s="442"/>
      <c r="J53" s="442"/>
      <c r="K53" s="442"/>
      <c r="L53" s="442"/>
      <c r="M53" s="420"/>
    </row>
    <row r="54" spans="1:13" ht="12.75" customHeight="1" x14ac:dyDescent="0.2">
      <c r="A54" s="420"/>
      <c r="B54" s="427"/>
      <c r="C54" s="427"/>
      <c r="D54" s="427"/>
      <c r="E54" s="427"/>
      <c r="F54" s="427"/>
      <c r="G54" s="427"/>
      <c r="H54" s="427"/>
      <c r="I54" s="427"/>
      <c r="J54" s="427"/>
      <c r="K54" s="427"/>
      <c r="L54" s="427"/>
      <c r="M54" s="420"/>
    </row>
    <row r="55" spans="1:13" ht="12.75" customHeight="1" x14ac:dyDescent="0.2">
      <c r="A55" s="420"/>
      <c r="B55" s="427"/>
      <c r="C55" s="427"/>
      <c r="D55" s="428"/>
      <c r="E55" s="427"/>
      <c r="F55" s="428"/>
      <c r="G55" s="428"/>
      <c r="H55" s="428"/>
      <c r="I55" s="427"/>
      <c r="J55" s="428"/>
      <c r="K55" s="428"/>
      <c r="L55" s="428"/>
      <c r="M55" s="420"/>
    </row>
    <row r="56" spans="1:13" ht="12.75" customHeight="1" x14ac:dyDescent="0.2">
      <c r="A56" s="420"/>
      <c r="B56" s="86"/>
      <c r="C56" s="427"/>
      <c r="D56" s="85" t="s">
        <v>128</v>
      </c>
      <c r="E56" s="427"/>
      <c r="F56" s="430" t="s">
        <v>123</v>
      </c>
      <c r="G56" s="430"/>
      <c r="H56" s="430"/>
      <c r="I56" s="427"/>
      <c r="J56" s="430" t="s">
        <v>143</v>
      </c>
      <c r="K56" s="430"/>
      <c r="L56" s="430"/>
      <c r="M56" s="420"/>
    </row>
    <row r="57" spans="1:13" ht="20" customHeight="1" x14ac:dyDescent="0.2">
      <c r="A57" s="420"/>
      <c r="B57" s="46"/>
      <c r="C57" s="427"/>
      <c r="D57" s="46" t="s">
        <v>129</v>
      </c>
      <c r="E57" s="427"/>
      <c r="F57" s="424" t="s">
        <v>125</v>
      </c>
      <c r="G57" s="424"/>
      <c r="H57" s="424"/>
      <c r="I57" s="427"/>
      <c r="J57" s="424" t="s">
        <v>105</v>
      </c>
      <c r="K57" s="424"/>
      <c r="L57" s="424"/>
      <c r="M57" s="420"/>
    </row>
    <row r="58" spans="1:13" ht="12.75" customHeight="1" x14ac:dyDescent="0.2">
      <c r="A58" s="420"/>
      <c r="B58" s="427"/>
      <c r="C58" s="427"/>
      <c r="D58" s="427"/>
      <c r="E58" s="427"/>
      <c r="F58" s="427"/>
      <c r="G58" s="427"/>
      <c r="H58" s="427"/>
      <c r="I58" s="427"/>
      <c r="J58" s="427"/>
      <c r="K58" s="427"/>
      <c r="L58" s="427"/>
      <c r="M58" s="420"/>
    </row>
    <row r="59" spans="1:13" x14ac:dyDescent="0.2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</sheetData>
  <mergeCells count="92">
    <mergeCell ref="B58:L58"/>
    <mergeCell ref="B54:B55"/>
    <mergeCell ref="C54:C57"/>
    <mergeCell ref="D54:D55"/>
    <mergeCell ref="E54:E57"/>
    <mergeCell ref="F54:H55"/>
    <mergeCell ref="I54:I57"/>
    <mergeCell ref="J54:L55"/>
    <mergeCell ref="F56:H56"/>
    <mergeCell ref="J56:L56"/>
    <mergeCell ref="F57:H57"/>
    <mergeCell ref="J57:L57"/>
    <mergeCell ref="B48:L48"/>
    <mergeCell ref="C49:L49"/>
    <mergeCell ref="B51:L51"/>
    <mergeCell ref="B52:L52"/>
    <mergeCell ref="B50:C50"/>
    <mergeCell ref="D50:E50"/>
    <mergeCell ref="F50:G50"/>
    <mergeCell ref="H50:I50"/>
    <mergeCell ref="J50:K50"/>
    <mergeCell ref="C45:D45"/>
    <mergeCell ref="F45:H45"/>
    <mergeCell ref="I45:L45"/>
    <mergeCell ref="B46:L46"/>
    <mergeCell ref="C47:D47"/>
    <mergeCell ref="F47:H47"/>
    <mergeCell ref="I47:L47"/>
    <mergeCell ref="B29:L29"/>
    <mergeCell ref="F35:L35"/>
    <mergeCell ref="B36:L36"/>
    <mergeCell ref="C37:D37"/>
    <mergeCell ref="I37:J37"/>
    <mergeCell ref="A30:A58"/>
    <mergeCell ref="B30:I33"/>
    <mergeCell ref="J30:L33"/>
    <mergeCell ref="B34:L34"/>
    <mergeCell ref="C35:D35"/>
    <mergeCell ref="C39:G39"/>
    <mergeCell ref="I39:L39"/>
    <mergeCell ref="B38:L38"/>
    <mergeCell ref="B40:L40"/>
    <mergeCell ref="C41:L41"/>
    <mergeCell ref="B42:L42"/>
    <mergeCell ref="C43:D43"/>
    <mergeCell ref="F43:H43"/>
    <mergeCell ref="I43:L43"/>
    <mergeCell ref="B53:L53"/>
    <mergeCell ref="B44:L44"/>
    <mergeCell ref="B21:L21"/>
    <mergeCell ref="B23:L23"/>
    <mergeCell ref="B24:L24"/>
    <mergeCell ref="B25:B26"/>
    <mergeCell ref="C25:C28"/>
    <mergeCell ref="D25:D26"/>
    <mergeCell ref="E25:E28"/>
    <mergeCell ref="F25:H26"/>
    <mergeCell ref="I25:I28"/>
    <mergeCell ref="J25:L26"/>
    <mergeCell ref="F27:H27"/>
    <mergeCell ref="J27:L27"/>
    <mergeCell ref="F28:H28"/>
    <mergeCell ref="J28:L28"/>
    <mergeCell ref="C20:L20"/>
    <mergeCell ref="C14:D14"/>
    <mergeCell ref="F14:H14"/>
    <mergeCell ref="I14:L14"/>
    <mergeCell ref="B15:L15"/>
    <mergeCell ref="C16:D16"/>
    <mergeCell ref="F16:H16"/>
    <mergeCell ref="I16:L16"/>
    <mergeCell ref="B17:L17"/>
    <mergeCell ref="C18:D18"/>
    <mergeCell ref="F18:H18"/>
    <mergeCell ref="I18:L18"/>
    <mergeCell ref="B19:L19"/>
    <mergeCell ref="B13:L13"/>
    <mergeCell ref="A1:A29"/>
    <mergeCell ref="B1:I4"/>
    <mergeCell ref="J1:L4"/>
    <mergeCell ref="M1:M58"/>
    <mergeCell ref="B5:L5"/>
    <mergeCell ref="C6:D6"/>
    <mergeCell ref="F6:L6"/>
    <mergeCell ref="B7:L7"/>
    <mergeCell ref="C8:D8"/>
    <mergeCell ref="I8:J8"/>
    <mergeCell ref="B9:L9"/>
    <mergeCell ref="C10:G10"/>
    <mergeCell ref="I10:L10"/>
    <mergeCell ref="B11:L11"/>
    <mergeCell ref="C12:L12"/>
  </mergeCells>
  <pageMargins left="0.23622047244094491" right="0.23622047244094491" top="0.74803149606299213" bottom="0.74803149606299213" header="0" footer="0"/>
  <pageSetup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11</vt:i4>
      </vt:variant>
    </vt:vector>
  </HeadingPairs>
  <TitlesOfParts>
    <vt:vector size="24" baseType="lpstr">
      <vt:lpstr>CAPTURA</vt:lpstr>
      <vt:lpstr>CheckList</vt:lpstr>
      <vt:lpstr>Ubicacion</vt:lpstr>
      <vt:lpstr>Cancelacion</vt:lpstr>
      <vt:lpstr>Cotizacion</vt:lpstr>
      <vt:lpstr>Oferta de compra_fisica</vt:lpstr>
      <vt:lpstr>Generales_fisica</vt:lpstr>
      <vt:lpstr>Vobocontrato_fisica</vt:lpstr>
      <vt:lpstr>VoboFolio_fisica</vt:lpstr>
      <vt:lpstr>Oferta de compra_moral</vt:lpstr>
      <vt:lpstr>Generales_moral</vt:lpstr>
      <vt:lpstr>Vobocontrato_moral</vt:lpstr>
      <vt:lpstr>VoboFolio_moral</vt:lpstr>
      <vt:lpstr>Cancelacion!Área_de_impresión</vt:lpstr>
      <vt:lpstr>CAPTURA!Área_de_impresión</vt:lpstr>
      <vt:lpstr>Cotizacion!Área_de_impresión</vt:lpstr>
      <vt:lpstr>Generales_moral!Área_de_impresión</vt:lpstr>
      <vt:lpstr>'Oferta de compra_fisica'!Área_de_impresión</vt:lpstr>
      <vt:lpstr>'Oferta de compra_moral'!Área_de_impresión</vt:lpstr>
      <vt:lpstr>Ubicacion!Área_de_impresión</vt:lpstr>
      <vt:lpstr>Vobocontrato_fisica!Área_de_impresión</vt:lpstr>
      <vt:lpstr>Vobocontrato_moral!Área_de_impresión</vt:lpstr>
      <vt:lpstr>VoboFolio_fisica!Área_de_impresión</vt:lpstr>
      <vt:lpstr>VoboFolio_moral!Área_de_impresión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NE57204</dc:creator>
  <cp:lastModifiedBy>Youseff Fraige</cp:lastModifiedBy>
  <cp:lastPrinted>2026-01-15T00:07:41Z</cp:lastPrinted>
  <dcterms:created xsi:type="dcterms:W3CDTF">2018-01-31T22:10:25Z</dcterms:created>
  <dcterms:modified xsi:type="dcterms:W3CDTF">2026-02-27T01:07:26Z</dcterms:modified>
</cp:coreProperties>
</file>